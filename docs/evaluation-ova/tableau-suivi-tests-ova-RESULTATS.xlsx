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nthese" sheetId="1" state="visible" r:id="rId1"/>
    <sheet xmlns:r="http://schemas.openxmlformats.org/officeDocument/2006/relationships" name="Suivi detaille" sheetId="2" state="visible" r:id="rId2"/>
    <sheet xmlns:r="http://schemas.openxmlformats.org/officeDocument/2006/relationships" name="Lots" sheetId="3" state="visible" r:id="rId3"/>
    <sheet xmlns:r="http://schemas.openxmlformats.org/officeDocument/2006/relationships" name="Roles permissions" sheetId="4" state="visible" r:id="rId4"/>
    <sheet xmlns:r="http://schemas.openxmlformats.org/officeDocument/2006/relationships" name="Donnees test" sheetId="5" state="visible" r:id="rId5"/>
    <sheet xmlns:r="http://schemas.openxmlformats.org/officeDocument/2006/relationships" name="Anomalies" sheetId="6" state="visible" r:id="rId6"/>
    <sheet xmlns:r="http://schemas.openxmlformats.org/officeDocument/2006/relationships" name="Referentiels" sheetId="7" state="visible" r:id="rId7"/>
    <sheet xmlns:r="http://schemas.openxmlformats.org/officeDocument/2006/relationships" name="Calendrier 2 mois" sheetId="8" state="visible" r:id="rId8"/>
    <sheet xmlns:r="http://schemas.openxmlformats.org/officeDocument/2006/relationships" name="Scope OVA" sheetId="9" state="visible" r:id="rId9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color rgb="FF1F2937"/>
      <sz val="10"/>
    </font>
    <font>
      <name val="Aptos"/>
      <b val="1"/>
      <color rgb="FF1F2937"/>
      <sz val="10"/>
    </font>
    <font>
      <name val="Aptos"/>
      <color rgb="FF1F2937"/>
      <sz val="10"/>
    </font>
    <font>
      <name val="Aptos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F5CC4"/>
      </patternFill>
    </fill>
    <fill>
      <patternFill patternType="solid">
        <fgColor rgb="FF102033"/>
      </patternFill>
    </fill>
    <fill>
      <patternFill patternType="solid">
        <fgColor rgb="FFEAF2FF"/>
      </patternFill>
    </fill>
    <fill>
      <patternFill patternType="solid">
        <fgColor rgb="FFFAFBFD"/>
      </patternFill>
    </fill>
    <fill>
      <patternFill patternType="solid">
        <fgColor rgb="FF1F5CC4"/>
      </patternFill>
    </fill>
    <fill>
      <patternFill patternType="solid">
        <fgColor rgb="FF102033"/>
      </patternFill>
    </fill>
    <fill>
      <patternFill patternType="solid">
        <fgColor rgb="FFEAF2FF"/>
      </patternFill>
    </fill>
    <fill>
      <patternFill patternType="solid">
        <fgColor rgb="FFF6F8FB"/>
      </patternFill>
    </fill>
    <fill>
      <patternFill patternType="solid">
        <fgColor rgb="FF102033"/>
      </patternFill>
    </fill>
    <fill>
      <patternFill patternType="solid">
        <fgColor rgb="FFEAF2FF"/>
      </patternFill>
    </fill>
    <fill>
      <patternFill patternType="solid">
        <fgColor rgb="FF1F5CC4"/>
      </patternFill>
    </fill>
    <fill>
      <patternFill patternType="solid">
        <fgColor rgb="FFF6F8FB"/>
      </patternFill>
    </fill>
  </fills>
  <borders count="1">
    <border/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9" fontId="0" fillId="0" borderId="0" pivotButton="0" quotePrefix="0" xfId="0"/>
    <xf numFmtId="0" fontId="4" fillId="3" borderId="0" applyAlignment="1" pivotButton="0" quotePrefix="0" xfId="0">
      <alignment horizontal="left"/>
    </xf>
    <xf numFmtId="0" fontId="5" fillId="4" borderId="0" applyAlignment="1" pivotButton="0" quotePrefix="0" xfId="0">
      <alignment horizontal="left"/>
    </xf>
    <xf numFmtId="0" fontId="5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9" fontId="5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9" fontId="5" fillId="0" borderId="0" applyAlignment="1" pivotButton="0" quotePrefix="0" xfId="0">
      <alignment vertical="center"/>
    </xf>
    <xf numFmtId="0" fontId="5" fillId="0" borderId="0" applyAlignment="1" pivotButton="0" quotePrefix="0" xfId="0">
      <alignment wrapText="1"/>
    </xf>
    <xf numFmtId="0" fontId="5" fillId="5" borderId="0" pivotButton="0" quotePrefix="0" xfId="0"/>
    <xf numFmtId="0" fontId="5" fillId="5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wrapText="1"/>
    </xf>
    <xf numFmtId="0" fontId="1" fillId="6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left"/>
    </xf>
    <xf numFmtId="0" fontId="0" fillId="8" borderId="0" pivotButton="0" quotePrefix="0" xfId="0"/>
    <xf numFmtId="0" fontId="3" fillId="8" borderId="0" pivotButton="0" quotePrefix="0" xfId="0"/>
    <xf numFmtId="0" fontId="3" fillId="8" borderId="0" applyAlignment="1" pivotButton="0" quotePrefix="0" xfId="0">
      <alignment horizontal="left"/>
    </xf>
    <xf numFmtId="0" fontId="5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vertical="center"/>
    </xf>
    <xf numFmtId="0" fontId="0" fillId="10" borderId="0" pivotButton="0" quotePrefix="0" xfId="0"/>
    <xf numFmtId="0" fontId="2" fillId="10" borderId="0" pivotButton="0" quotePrefix="0" xfId="0"/>
    <xf numFmtId="0" fontId="2" fillId="10" borderId="0" applyAlignment="1" pivotButton="0" quotePrefix="0" xfId="0">
      <alignment horizontal="left"/>
    </xf>
    <xf numFmtId="0" fontId="0" fillId="11" borderId="0" pivotButton="0" quotePrefix="0" xfId="0"/>
    <xf numFmtId="0" fontId="3" fillId="11" borderId="0" pivotButton="0" quotePrefix="0" xfId="0"/>
    <xf numFmtId="0" fontId="3" fillId="11" borderId="0" applyAlignment="1" pivotButton="0" quotePrefix="0" xfId="0">
      <alignment horizontal="left"/>
    </xf>
    <xf numFmtId="0" fontId="0" fillId="12" borderId="0" pivotButton="0" quotePrefix="0" xfId="0"/>
    <xf numFmtId="0" fontId="1" fillId="12" borderId="0" pivotButton="0" quotePrefix="0" xfId="0"/>
    <xf numFmtId="0" fontId="1" fillId="12" borderId="0" applyAlignment="1" pivotButton="0" quotePrefix="0" xfId="0">
      <alignment wrapText="1"/>
    </xf>
    <xf numFmtId="0" fontId="1" fillId="12" borderId="0" applyAlignment="1" pivotButton="0" quotePrefix="0" xfId="0">
      <alignment horizontal="center" wrapText="1"/>
    </xf>
    <xf numFmtId="0" fontId="1" fillId="12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vertical="center"/>
    </xf>
    <xf numFmtId="0" fontId="6" fillId="12" borderId="0" applyAlignment="1" pivotButton="0" quotePrefix="0" xfId="0">
      <alignment vertical="center"/>
    </xf>
    <xf numFmtId="0" fontId="6" fillId="12" borderId="0" applyAlignment="1" pivotButton="0" quotePrefix="0" xfId="0">
      <alignment vertical="center" wrapText="1"/>
    </xf>
    <xf numFmtId="0" fontId="6" fillId="12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vertical="center"/>
    </xf>
    <xf numFmtId="9" fontId="5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uiviOVA" displayName="SuiviOVA" ref="A5:W210" headerRowCount="1">
  <tableColumns count="23">
    <tableColumn id="1" name="ID"/>
    <tableColumn id="2" name="Lot"/>
    <tableColumn id="3" name="Priorite"/>
    <tableColumn id="4" name="Module"/>
    <tableColumn id="5" name="Sous-module"/>
    <tableColumn id="6" name="Parcours"/>
    <tableColumn id="7" name="Element a verifier"/>
    <tableColumn id="8" name="Type controle"/>
    <tableColumn id="9" name="Profil testeur"/>
    <tableColumn id="10" name="Plateforme"/>
    <tableColumn id="11" name="Donnees requises"/>
    <tableColumn id="12" name="Resultat attendu"/>
    <tableColumn id="13" name="Statut"/>
    <tableColumn id="14" name="Gravite"/>
    <tableColumn id="15" name="Resp. OVA"/>
    <tableColumn id="16" name="Resp. OpsFlux"/>
    <tableColumn id="17" name="Date cible"/>
    <tableColumn id="18" name="Date test"/>
    <tableColumn id="19" name="Anomalie / lien"/>
    <tableColumn id="20" name="Preuve"/>
    <tableColumn id="21" name="Commentaire"/>
    <tableColumn id="22" name="Retest"/>
    <tableColumn id="23" name="Decision"/>
  </tableColumns>
  <tableStyleInfo name="TableStyleMedium2" showRowStripes="1"/>
</table>
</file>

<file path=xl/tables/table2.xml><?xml version="1.0" encoding="utf-8"?>
<table xmlns="http://schemas.openxmlformats.org/spreadsheetml/2006/main" id="2" name="CalendrierRecetteDeuxMois" displayName="CalendrierRecetteDeuxMois" ref="A5:J13" headerRowCount="1">
  <tableColumns count="10">
    <tableColumn id="1" name="Semaine"/>
    <tableColumn id="2" name="Periode"/>
    <tableColumn id="3" name="Lots"/>
    <tableColumn id="4" name="Objectif"/>
    <tableColumn id="5" name="Actions OVA"/>
    <tableColumn id="6" name="Livrables attendus"/>
    <tableColumn id="7" name="Critere de sortie"/>
    <tableColumn id="8" name="Decision fin semaine"/>
    <tableColumn id="9" name="Statut"/>
    <tableColumn id="10" name="Commentaires"/>
  </tableColumns>
  <tableStyleInfo name="TableStyleMedium2" showRowStripes="1"/>
</table>
</file>

<file path=xl/tables/table3.xml><?xml version="1.0" encoding="utf-8"?>
<table xmlns="http://schemas.openxmlformats.org/spreadsheetml/2006/main" id="3" name="ScopeOVA" displayName="ScopeOVA" ref="A5:H8" headerRowCount="1">
  <tableColumns count="8">
    <tableColumn id="1" name="Niveau"/>
    <tableColumn id="2" name="Horizon"/>
    <tableColumn id="3" name="Objectif"/>
    <tableColumn id="4" name="Responsabilites OVA"/>
    <tableColumn id="5" name="Responsabilites OpsFlux"/>
    <tableColumn id="6" name="Livrables"/>
    <tableColumn id="7" name="Indicateurs"/>
    <tableColumn id="8" name="Decis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23.75" customWidth="1" min="1" max="1"/>
    <col width="11.25" customWidth="1" min="2" max="2"/>
    <col width="11.25" customWidth="1" min="3" max="3"/>
    <col width="11.25" customWidth="1" min="4" max="4"/>
    <col width="11.25" customWidth="1" min="5" max="5"/>
    <col width="13.75" customWidth="1" min="6" max="6"/>
    <col width="13.75" customWidth="1" min="7" max="7"/>
    <col width="32.5" customWidth="1" min="8" max="8"/>
    <col width="2.5" customWidth="1" min="9" max="9"/>
    <col width="16.25" customWidth="1" min="10" max="10"/>
    <col width="16.25" customWidth="1" min="11" max="11"/>
    <col width="16.25" customWidth="1" min="12" max="12"/>
  </cols>
  <sheetData>
    <row r="1" ht="21" customHeight="1">
      <c r="A1" s="21" t="inlineStr">
        <is>
          <t>Synthese recette OVA - OpsFlux</t>
        </is>
      </c>
    </row>
    <row r="2" ht="21" customHeight="1">
      <c r="A2" s="22" t="inlineStr">
        <is>
          <t>Pilotage automatique base sur la feuille Suivi detaille.</t>
        </is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</row>
    <row r="4">
      <c r="A4" s="31" t="inlineStr">
        <is>
          <t>Indicateur</t>
        </is>
      </c>
      <c r="B4" s="31" t="inlineStr">
        <is>
          <t>Valeur</t>
        </is>
      </c>
      <c r="C4" s="23" t="n"/>
      <c r="D4" s="23" t="n"/>
      <c r="E4" s="23" t="n"/>
      <c r="F4" s="23" t="n"/>
      <c r="G4" s="23" t="n"/>
      <c r="H4" s="23" t="n"/>
      <c r="I4" s="23" t="n"/>
      <c r="J4" s="46" t="inlineStr">
        <is>
          <t>Cadence</t>
        </is>
      </c>
      <c r="K4" s="46" t="inlineStr">
        <is>
          <t>Valeur</t>
        </is>
      </c>
      <c r="L4" s="46" t="inlineStr">
        <is>
          <t>Commentaire</t>
        </is>
      </c>
    </row>
    <row r="5">
      <c r="A5" s="23" t="inlineStr">
        <is>
          <t>Tests total</t>
        </is>
      </c>
      <c r="B5" s="23">
        <f>COUNTA('Suivi detaille'!A6:A210)</f>
        <v/>
      </c>
      <c r="C5" s="23" t="n"/>
      <c r="D5" s="23" t="n"/>
      <c r="E5" s="23" t="n"/>
      <c r="F5" s="23" t="n"/>
      <c r="G5" s="23" t="n"/>
      <c r="H5" s="23" t="n"/>
      <c r="I5" s="23" t="n"/>
      <c r="J5" s="47" t="inlineStr">
        <is>
          <t>Duree cible</t>
        </is>
      </c>
      <c r="K5" s="47" t="inlineStr">
        <is>
          <t>8 semaines</t>
        </is>
      </c>
      <c r="L5" s="47" t="inlineStr">
        <is>
          <t>2 mois de recette a compter de T0</t>
        </is>
      </c>
    </row>
    <row r="6">
      <c r="A6" s="23" t="inlineStr">
        <is>
          <t>OK</t>
        </is>
      </c>
      <c r="B6" s="23">
        <f>COUNTIF('Suivi detaille'!M6:M210,"OK")</f>
        <v/>
      </c>
      <c r="C6" s="23" t="n"/>
      <c r="D6" s="23" t="n"/>
      <c r="E6" s="23" t="n"/>
      <c r="F6" s="23" t="n"/>
      <c r="G6" s="23" t="n"/>
      <c r="H6" s="23" t="n"/>
      <c r="I6" s="23" t="n"/>
      <c r="J6" s="47" t="inlineStr">
        <is>
          <t>T0</t>
        </is>
      </c>
      <c r="K6" s="47" t="inlineStr">
        <is>
          <t>A renseigner</t>
        </is>
      </c>
      <c r="L6" s="47" t="inlineStr">
        <is>
          <t>Date acces + donnees initiales</t>
        </is>
      </c>
    </row>
    <row r="7">
      <c r="A7" s="23" t="inlineStr">
        <is>
          <t>KO</t>
        </is>
      </c>
      <c r="B7" s="23">
        <f>COUNTIF('Suivi detaille'!M6:M210,"KO")</f>
        <v/>
      </c>
      <c r="C7" s="23" t="n"/>
      <c r="D7" s="23" t="n"/>
      <c r="E7" s="23" t="n"/>
      <c r="F7" s="23" t="n"/>
      <c r="G7" s="23" t="n"/>
      <c r="H7" s="23" t="n"/>
      <c r="I7" s="23" t="n"/>
      <c r="J7" s="47" t="inlineStr">
        <is>
          <t>Fin cible</t>
        </is>
      </c>
      <c r="K7" s="47">
        <f>IF(K6="A renseigner","A renseigner",K6+56)</f>
        <v/>
      </c>
      <c r="L7" s="47" t="inlineStr">
        <is>
          <t>T0 + 8 semaines</t>
        </is>
      </c>
    </row>
    <row r="8">
      <c r="A8" s="23" t="inlineStr">
        <is>
          <t>Bloques</t>
        </is>
      </c>
      <c r="B8" s="23">
        <f>COUNTIF('Suivi detaille'!M6:M210,"Bloque")</f>
        <v/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</row>
    <row r="9">
      <c r="A9" s="23" t="inlineStr">
        <is>
          <t>A re-tester</t>
        </is>
      </c>
      <c r="B9" s="23">
        <f>COUNTIF('Suivi detaille'!M6:M210,"A re-tester")</f>
        <v/>
      </c>
      <c r="C9" s="23" t="n"/>
      <c r="D9" s="23" t="n"/>
      <c r="E9" s="23" t="n"/>
      <c r="F9" s="23" t="n"/>
      <c r="G9" s="23" t="n"/>
      <c r="H9" s="23" t="n"/>
      <c r="I9" s="23" t="n"/>
      <c r="J9" s="62" t="inlineStr">
        <is>
          <t>Scope OVA</t>
        </is>
      </c>
      <c r="K9" s="62" t="inlineStr">
        <is>
          <t>Horizon</t>
        </is>
      </c>
      <c r="L9" s="62" t="inlineStr">
        <is>
          <t>Statut</t>
        </is>
      </c>
    </row>
    <row r="10">
      <c r="A10" s="23" t="inlineStr">
        <is>
          <t>Avancement</t>
        </is>
      </c>
      <c r="B10" s="64">
        <f>IF(B5=0,0,B6/B5)</f>
        <v/>
      </c>
      <c r="C10" s="23" t="n"/>
      <c r="D10" s="23" t="n"/>
      <c r="E10" s="23" t="n"/>
      <c r="F10" s="23" t="n"/>
      <c r="G10" s="23" t="n"/>
      <c r="H10" s="23" t="n"/>
      <c r="I10" s="23" t="n"/>
      <c r="J10" s="63" t="inlineStr">
        <is>
          <t>1. Test et recette</t>
        </is>
      </c>
      <c r="K10" s="63" t="inlineStr">
        <is>
          <t>2 mois</t>
        </is>
      </c>
      <c r="L10" s="63" t="inlineStr">
        <is>
          <t>A cadrer</t>
        </is>
      </c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63" t="inlineStr">
        <is>
          <t>2. Maintenance</t>
        </is>
      </c>
      <c r="K11" s="63" t="inlineStr">
        <is>
          <t>Post-recette</t>
        </is>
      </c>
      <c r="L11" s="63" t="inlineStr">
        <is>
          <t>Option cible</t>
        </is>
      </c>
    </row>
    <row r="12">
      <c r="A12" s="31" t="inlineStr">
        <is>
          <t>Lot</t>
        </is>
      </c>
      <c r="B12" s="31" t="inlineStr">
        <is>
          <t>Total</t>
        </is>
      </c>
      <c r="C12" s="31" t="inlineStr">
        <is>
          <t>OK</t>
        </is>
      </c>
      <c r="D12" s="31" t="inlineStr">
        <is>
          <t>KO</t>
        </is>
      </c>
      <c r="E12" s="31" t="inlineStr">
        <is>
          <t>Bloques</t>
        </is>
      </c>
      <c r="F12" s="31" t="inlineStr">
        <is>
          <t>A re-tester</t>
        </is>
      </c>
      <c r="G12" s="31" t="inlineStr">
        <is>
          <t>Avancement</t>
        </is>
      </c>
      <c r="H12" s="31" t="inlineStr">
        <is>
          <t>Commentaire</t>
        </is>
      </c>
      <c r="I12" s="23" t="n"/>
      <c r="J12" s="63" t="inlineStr">
        <is>
          <t>3. Evolution</t>
        </is>
      </c>
      <c r="K12" s="63" t="inlineStr">
        <is>
          <t>Moyen / long terme</t>
        </is>
      </c>
      <c r="L12" s="63" t="inlineStr">
        <is>
          <t>Option cible</t>
        </is>
      </c>
    </row>
    <row r="13">
      <c r="A13" s="23" t="inlineStr">
        <is>
          <t>Lot 0 - Acces</t>
        </is>
      </c>
      <c r="B13" s="23">
        <f>COUNTIF('Suivi detaille'!B$6:B$210,A13)</f>
        <v/>
      </c>
      <c r="C13" s="23">
        <f>COUNTIFS('Suivi detaille'!B$6:B$210,A13,'Suivi detaille'!M$6:M$210,"OK")</f>
        <v/>
      </c>
      <c r="D13" s="23">
        <f>COUNTIFS('Suivi detaille'!B$6:B$210,A13,'Suivi detaille'!M$6:M$210,"KO")</f>
        <v/>
      </c>
      <c r="E13" s="23">
        <f>COUNTIFS('Suivi detaille'!B$6:B$210,A13,'Suivi detaille'!M$6:M$210,"Bloque")</f>
        <v/>
      </c>
      <c r="F13" s="23">
        <f>COUNTIFS('Suivi detaille'!B$6:B$210,A13,'Suivi detaille'!M$6:M$210,"A re-tester")</f>
        <v/>
      </c>
      <c r="G13" s="64">
        <f>IF(B13=0,0,C13/B13)</f>
        <v/>
      </c>
      <c r="H13" s="23" t="n"/>
      <c r="I13" s="23" t="n"/>
      <c r="J13" s="23" t="n"/>
      <c r="K13" s="23" t="n"/>
      <c r="L13" s="23" t="n"/>
    </row>
    <row r="14">
      <c r="A14" s="23" t="inlineStr">
        <is>
          <t>Lot 1 - Profil</t>
        </is>
      </c>
      <c r="B14" s="23">
        <f>COUNTIF('Suivi detaille'!B$6:B$210,A14)</f>
        <v/>
      </c>
      <c r="C14" s="23">
        <f>COUNTIFS('Suivi detaille'!B$6:B$210,A14,'Suivi detaille'!M$6:M$210,"OK")</f>
        <v/>
      </c>
      <c r="D14" s="23">
        <f>COUNTIFS('Suivi detaille'!B$6:B$210,A14,'Suivi detaille'!M$6:M$210,"KO")</f>
        <v/>
      </c>
      <c r="E14" s="23">
        <f>COUNTIFS('Suivi detaille'!B$6:B$210,A14,'Suivi detaille'!M$6:M$210,"Bloque")</f>
        <v/>
      </c>
      <c r="F14" s="23">
        <f>COUNTIFS('Suivi detaille'!B$6:B$210,A14,'Suivi detaille'!M$6:M$210,"A re-tester")</f>
        <v/>
      </c>
      <c r="G14" s="64">
        <f>IF(B14=0,0,C14/B14)</f>
        <v/>
      </c>
      <c r="H14" s="23" t="n"/>
      <c r="I14" s="23" t="n"/>
      <c r="J14" s="23" t="n"/>
      <c r="K14" s="23" t="n"/>
      <c r="L14" s="23" t="n"/>
    </row>
    <row r="15">
      <c r="A15" s="23" t="inlineStr">
        <is>
          <t>Lot 2 - Comptes/RBAC</t>
        </is>
      </c>
      <c r="B15" s="23">
        <f>COUNTIF('Suivi detaille'!B$6:B$210,A15)</f>
        <v/>
      </c>
      <c r="C15" s="23">
        <f>COUNTIFS('Suivi detaille'!B$6:B$210,A15,'Suivi detaille'!M$6:M$210,"OK")</f>
        <v/>
      </c>
      <c r="D15" s="23">
        <f>COUNTIFS('Suivi detaille'!B$6:B$210,A15,'Suivi detaille'!M$6:M$210,"KO")</f>
        <v/>
      </c>
      <c r="E15" s="23">
        <f>COUNTIFS('Suivi detaille'!B$6:B$210,A15,'Suivi detaille'!M$6:M$210,"Bloque")</f>
        <v/>
      </c>
      <c r="F15" s="23">
        <f>COUNTIFS('Suivi detaille'!B$6:B$210,A15,'Suivi detaille'!M$6:M$210,"A re-tester")</f>
        <v/>
      </c>
      <c r="G15" s="64">
        <f>IF(B15=0,0,C15/B15)</f>
        <v/>
      </c>
      <c r="H15" s="23" t="n"/>
      <c r="I15" s="23" t="n"/>
      <c r="J15" s="23" t="n"/>
      <c r="K15" s="23" t="n"/>
      <c r="L15" s="23" t="n"/>
    </row>
    <row r="16">
      <c r="A16" s="23" t="inlineStr">
        <is>
          <t>Lot 3 - Assets</t>
        </is>
      </c>
      <c r="B16" s="23">
        <f>COUNTIF('Suivi detaille'!B$6:B$210,A16)</f>
        <v/>
      </c>
      <c r="C16" s="23">
        <f>COUNTIFS('Suivi detaille'!B$6:B$210,A16,'Suivi detaille'!M$6:M$210,"OK")</f>
        <v/>
      </c>
      <c r="D16" s="23">
        <f>COUNTIFS('Suivi detaille'!B$6:B$210,A16,'Suivi detaille'!M$6:M$210,"KO")</f>
        <v/>
      </c>
      <c r="E16" s="23">
        <f>COUNTIFS('Suivi detaille'!B$6:B$210,A16,'Suivi detaille'!M$6:M$210,"Bloque")</f>
        <v/>
      </c>
      <c r="F16" s="23">
        <f>COUNTIFS('Suivi detaille'!B$6:B$210,A16,'Suivi detaille'!M$6:M$210,"A re-tester")</f>
        <v/>
      </c>
      <c r="G16" s="64">
        <f>IF(B16=0,0,C16/B16)</f>
        <v/>
      </c>
      <c r="H16" s="23" t="n"/>
      <c r="I16" s="23" t="n"/>
      <c r="J16" s="23" t="n"/>
      <c r="K16" s="23" t="n"/>
      <c r="L16" s="23" t="n"/>
    </row>
    <row r="17">
      <c r="A17" s="23" t="inlineStr">
        <is>
          <t>Lot 4 - Conformite</t>
        </is>
      </c>
      <c r="B17" s="23">
        <f>COUNTIF('Suivi detaille'!B$6:B$210,A17)</f>
        <v/>
      </c>
      <c r="C17" s="23">
        <f>COUNTIFS('Suivi detaille'!B$6:B$210,A17,'Suivi detaille'!M$6:M$210,"OK")</f>
        <v/>
      </c>
      <c r="D17" s="23">
        <f>COUNTIFS('Suivi detaille'!B$6:B$210,A17,'Suivi detaille'!M$6:M$210,"KO")</f>
        <v/>
      </c>
      <c r="E17" s="23">
        <f>COUNTIFS('Suivi detaille'!B$6:B$210,A17,'Suivi detaille'!M$6:M$210,"Bloque")</f>
        <v/>
      </c>
      <c r="F17" s="23">
        <f>COUNTIFS('Suivi detaille'!B$6:B$210,A17,'Suivi detaille'!M$6:M$210,"A re-tester")</f>
        <v/>
      </c>
      <c r="G17" s="64">
        <f>IF(B17=0,0,C17/B17)</f>
        <v/>
      </c>
      <c r="H17" s="23" t="n"/>
      <c r="I17" s="23" t="n"/>
      <c r="J17" s="23" t="n"/>
      <c r="K17" s="23" t="n"/>
      <c r="L17" s="23" t="n"/>
    </row>
    <row r="18">
      <c r="A18" s="23" t="inlineStr">
        <is>
          <t>Lot 5 - Support</t>
        </is>
      </c>
      <c r="B18" s="23">
        <f>COUNTIF('Suivi detaille'!B$6:B$210,A18)</f>
        <v/>
      </c>
      <c r="C18" s="23">
        <f>COUNTIFS('Suivi detaille'!B$6:B$210,A18,'Suivi detaille'!M$6:M$210,"OK")</f>
        <v/>
      </c>
      <c r="D18" s="23">
        <f>COUNTIFS('Suivi detaille'!B$6:B$210,A18,'Suivi detaille'!M$6:M$210,"KO")</f>
        <v/>
      </c>
      <c r="E18" s="23">
        <f>COUNTIFS('Suivi detaille'!B$6:B$210,A18,'Suivi detaille'!M$6:M$210,"Bloque")</f>
        <v/>
      </c>
      <c r="F18" s="23">
        <f>COUNTIFS('Suivi detaille'!B$6:B$210,A18,'Suivi detaille'!M$6:M$210,"A re-tester")</f>
        <v/>
      </c>
      <c r="G18" s="64">
        <f>IF(B18=0,0,C18/B18)</f>
        <v/>
      </c>
      <c r="H18" s="23" t="n"/>
      <c r="I18" s="23" t="n"/>
      <c r="J18" s="23" t="n"/>
      <c r="K18" s="23" t="n"/>
      <c r="L18" s="23" t="n"/>
    </row>
    <row r="19">
      <c r="A19" s="23" t="inlineStr">
        <is>
          <t>Lot 6 - Tiers</t>
        </is>
      </c>
      <c r="B19" s="23">
        <f>COUNTIF('Suivi detaille'!B$6:B$210,A19)</f>
        <v/>
      </c>
      <c r="C19" s="23">
        <f>COUNTIFS('Suivi detaille'!B$6:B$210,A19,'Suivi detaille'!M$6:M$210,"OK")</f>
        <v/>
      </c>
      <c r="D19" s="23">
        <f>COUNTIFS('Suivi detaille'!B$6:B$210,A19,'Suivi detaille'!M$6:M$210,"KO")</f>
        <v/>
      </c>
      <c r="E19" s="23">
        <f>COUNTIFS('Suivi detaille'!B$6:B$210,A19,'Suivi detaille'!M$6:M$210,"Bloque")</f>
        <v/>
      </c>
      <c r="F19" s="23">
        <f>COUNTIFS('Suivi detaille'!B$6:B$210,A19,'Suivi detaille'!M$6:M$210,"A re-tester")</f>
        <v/>
      </c>
      <c r="G19" s="64">
        <f>IF(B19=0,0,C19/B19)</f>
        <v/>
      </c>
      <c r="H19" s="23" t="n"/>
      <c r="I19" s="23" t="n"/>
      <c r="J19" s="23" t="n"/>
      <c r="K19" s="23" t="n"/>
      <c r="L19" s="23" t="n"/>
    </row>
    <row r="20">
      <c r="A20" s="23" t="inlineStr">
        <is>
          <t>Lot 7 - Projets</t>
        </is>
      </c>
      <c r="B20" s="23">
        <f>COUNTIF('Suivi detaille'!B$6:B$210,A20)</f>
        <v/>
      </c>
      <c r="C20" s="23">
        <f>COUNTIFS('Suivi detaille'!B$6:B$210,A20,'Suivi detaille'!M$6:M$210,"OK")</f>
        <v/>
      </c>
      <c r="D20" s="23">
        <f>COUNTIFS('Suivi detaille'!B$6:B$210,A20,'Suivi detaille'!M$6:M$210,"KO")</f>
        <v/>
      </c>
      <c r="E20" s="23">
        <f>COUNTIFS('Suivi detaille'!B$6:B$210,A20,'Suivi detaille'!M$6:M$210,"Bloque")</f>
        <v/>
      </c>
      <c r="F20" s="23">
        <f>COUNTIFS('Suivi detaille'!B$6:B$210,A20,'Suivi detaille'!M$6:M$210,"A re-tester")</f>
        <v/>
      </c>
      <c r="G20" s="64">
        <f>IF(B20=0,0,C20/B20)</f>
        <v/>
      </c>
      <c r="H20" s="23" t="n"/>
      <c r="I20" s="23" t="n"/>
      <c r="J20" s="23" t="n"/>
      <c r="K20" s="23" t="n"/>
      <c r="L20" s="23" t="n"/>
    </row>
    <row r="21">
      <c r="A21" s="23" t="inlineStr">
        <is>
          <t>Transversal</t>
        </is>
      </c>
      <c r="B21" s="23">
        <f>COUNTIF('Suivi detaille'!B$6:B$210,A21)</f>
        <v/>
      </c>
      <c r="C21" s="23">
        <f>COUNTIFS('Suivi detaille'!B$6:B$210,A21,'Suivi detaille'!M$6:M$210,"OK")</f>
        <v/>
      </c>
      <c r="D21" s="23">
        <f>COUNTIFS('Suivi detaille'!B$6:B$210,A21,'Suivi detaille'!M$6:M$210,"KO")</f>
        <v/>
      </c>
      <c r="E21" s="23">
        <f>COUNTIFS('Suivi detaille'!B$6:B$210,A21,'Suivi detaille'!M$6:M$210,"Bloque")</f>
        <v/>
      </c>
      <c r="F21" s="23">
        <f>COUNTIFS('Suivi detaille'!B$6:B$210,A21,'Suivi detaille'!M$6:M$210,"A re-tester")</f>
        <v/>
      </c>
      <c r="G21" s="64">
        <f>IF(B21=0,0,C21/B21)</f>
        <v/>
      </c>
      <c r="H21" s="23" t="n"/>
      <c r="I21" s="23" t="n"/>
      <c r="J21" s="23" t="n"/>
      <c r="K21" s="23" t="n"/>
      <c r="L21" s="23" t="n"/>
    </row>
  </sheetData>
  <mergeCells count="2">
    <mergeCell ref="A2:L2"/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0"/>
  <sheetViews>
    <sheetView showGridLines="0" workbookViewId="0">
      <selection activeCell="A1" sqref="A1"/>
    </sheetView>
  </sheetViews>
  <sheetFormatPr baseColWidth="8" defaultRowHeight="15"/>
  <cols>
    <col width="10.75" customWidth="1" min="1" max="1"/>
    <col width="19.3799991607666" customWidth="1" min="2" max="2"/>
    <col width="11.25" customWidth="1" min="3" max="3"/>
    <col width="16.8799991607666" customWidth="1" min="4" max="4"/>
    <col width="19.3799991607666" customWidth="1" min="5" max="5"/>
    <col width="20" customWidth="1" min="6" max="6"/>
    <col width="35.63000106811523" customWidth="1" min="7" max="7"/>
    <col width="14.38000011444092" customWidth="1" min="8" max="8"/>
    <col width="19.3799991607666" customWidth="1" min="9" max="9"/>
    <col width="11.88000011444092" customWidth="1" min="10" max="10"/>
    <col width="26.25" customWidth="1" min="11" max="11"/>
    <col width="37.5" customWidth="1" min="12" max="12"/>
    <col width="14.38000011444092" customWidth="1" min="13" max="13"/>
    <col width="13.13000011444092" customWidth="1" min="14" max="14"/>
    <col width="16.25" customWidth="1" min="15" max="15"/>
    <col width="16.25" customWidth="1" min="16" max="16"/>
    <col width="13.13000011444092" customWidth="1" min="17" max="17"/>
    <col width="13.13000011444092" customWidth="1" min="18" max="18"/>
    <col width="18.75" customWidth="1" min="19" max="19"/>
    <col width="18.75" customWidth="1" min="20" max="20"/>
    <col width="32.5" customWidth="1" min="21" max="21"/>
    <col width="11.88000011444092" customWidth="1" min="22" max="22"/>
    <col width="22.5" customWidth="1" min="23" max="23"/>
    <col width="13.75" customWidth="1" min="24" max="24"/>
  </cols>
  <sheetData>
    <row r="1" ht="21" customHeight="1">
      <c r="A1" s="21" t="inlineStr">
        <is>
          <t>Tableau de suivi detaille OVA - Evaluation OpsFlux</t>
        </is>
      </c>
    </row>
    <row r="2" ht="21" customHeight="1">
      <c r="A2" s="22" t="inlineStr">
        <is>
          <t>Granularite fine: chaque ligne correspond a un element precis a verifier. Les filtres et statuts permettent de piloter la recette.</t>
        </is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</row>
    <row r="5">
      <c r="A5" s="31" t="inlineStr">
        <is>
          <t>ID</t>
        </is>
      </c>
      <c r="B5" s="31" t="inlineStr">
        <is>
          <t>Lot</t>
        </is>
      </c>
      <c r="C5" s="31" t="inlineStr">
        <is>
          <t>Priorite</t>
        </is>
      </c>
      <c r="D5" s="31" t="inlineStr">
        <is>
          <t>Module</t>
        </is>
      </c>
      <c r="E5" s="31" t="inlineStr">
        <is>
          <t>Sous-module</t>
        </is>
      </c>
      <c r="F5" s="31" t="inlineStr">
        <is>
          <t>Parcours</t>
        </is>
      </c>
      <c r="G5" s="31" t="inlineStr">
        <is>
          <t>Element a verifier</t>
        </is>
      </c>
      <c r="H5" s="31" t="inlineStr">
        <is>
          <t>Type controle</t>
        </is>
      </c>
      <c r="I5" s="31" t="inlineStr">
        <is>
          <t>Profil testeur</t>
        </is>
      </c>
      <c r="J5" s="31" t="inlineStr">
        <is>
          <t>Plateforme</t>
        </is>
      </c>
      <c r="K5" s="31" t="inlineStr">
        <is>
          <t>Donnees requises</t>
        </is>
      </c>
      <c r="L5" s="31" t="inlineStr">
        <is>
          <t>Resultat attendu</t>
        </is>
      </c>
      <c r="M5" s="31" t="inlineStr">
        <is>
          <t>Statut</t>
        </is>
      </c>
      <c r="N5" s="31" t="inlineStr">
        <is>
          <t>Gravite</t>
        </is>
      </c>
      <c r="O5" s="31" t="inlineStr">
        <is>
          <t>Resp. OVA</t>
        </is>
      </c>
      <c r="P5" s="31" t="inlineStr">
        <is>
          <t>Resp. OpsFlux</t>
        </is>
      </c>
      <c r="Q5" s="31" t="inlineStr">
        <is>
          <t>Date cible</t>
        </is>
      </c>
      <c r="R5" s="31" t="inlineStr">
        <is>
          <t>Date test</t>
        </is>
      </c>
      <c r="S5" s="31" t="inlineStr">
        <is>
          <t>Anomalie / lien</t>
        </is>
      </c>
      <c r="T5" s="31" t="inlineStr">
        <is>
          <t>Preuve</t>
        </is>
      </c>
      <c r="U5" s="31" t="inlineStr">
        <is>
          <t>Commentaire</t>
        </is>
      </c>
      <c r="V5" s="31" t="inlineStr">
        <is>
          <t>Retest</t>
        </is>
      </c>
      <c r="W5" s="31" t="inlineStr">
        <is>
          <t>Decision</t>
        </is>
      </c>
      <c r="X5" s="36" t="inlineStr">
        <is>
          <t>Semaine cible</t>
        </is>
      </c>
    </row>
    <row r="6">
      <c r="A6" s="23" t="inlineStr">
        <is>
          <t>OVA-001</t>
        </is>
      </c>
      <c r="B6" s="23" t="inlineStr">
        <is>
          <t>Lot 0 - Acces</t>
        </is>
      </c>
      <c r="C6" s="23" t="inlineStr">
        <is>
          <t>Critique</t>
        </is>
      </c>
      <c r="D6" s="23" t="inlineStr">
        <is>
          <t>Acces</t>
        </is>
      </c>
      <c r="E6" s="23" t="inlineStr">
        <is>
          <t>Connexion</t>
        </is>
      </c>
      <c r="F6" s="23" t="inlineStr">
        <is>
          <t>Authentification</t>
        </is>
      </c>
      <c r="G6" s="28" t="inlineStr">
        <is>
          <t>Connexion avec compte Admin</t>
        </is>
      </c>
      <c r="H6" s="23" t="inlineStr">
        <is>
          <t>Fonctionnel</t>
        </is>
      </c>
      <c r="I6" s="23" t="inlineStr">
        <is>
          <t>Admin</t>
        </is>
      </c>
      <c r="J6" s="23" t="inlineStr">
        <is>
          <t>Toutes</t>
        </is>
      </c>
      <c r="K6" s="28" t="inlineStr">
        <is>
          <t>Compte de test actif</t>
        </is>
      </c>
      <c r="L6" s="28" t="inlineStr">
        <is>
          <t>Connexion possible et redirection vers le bon perimetre</t>
        </is>
      </c>
      <c r="M6" s="23" t="inlineStr">
        <is>
          <t>OK</t>
        </is>
      </c>
      <c r="N6" s="23" t="inlineStr">
        <is>
          <t>Bloquant</t>
        </is>
      </c>
      <c r="O6" s="23" t="str"/>
      <c r="P6" s="23" t="str"/>
      <c r="Q6" s="23" t="str"/>
      <c r="R6" s="23" t="inlineStr">
        <is>
          <t>2026-05-29</t>
        </is>
      </c>
      <c r="S6" s="23" t="str"/>
      <c r="T6" s="23" t="str"/>
      <c r="U6" s="28" t="inlineStr">
        <is>
          <t>[Auto-test RBAC simulation Claude 2026-05-29] Verifie via X-Acting-Context:simulate. Matrice 8/8: Lecture seule+READER lit/no-write, Chef projet scope projets, Admin full. Enforcement RBAC confirme.</t>
        </is>
      </c>
      <c r="V6" s="23" t="str"/>
      <c r="W6" s="23" t="str"/>
      <c r="X6" t="inlineStr">
        <is>
          <t>S1</t>
        </is>
      </c>
    </row>
    <row r="7">
      <c r="A7" s="29" t="inlineStr">
        <is>
          <t>OVA-002</t>
        </is>
      </c>
      <c r="B7" s="29" t="inlineStr">
        <is>
          <t>Lot 0 - Acces</t>
        </is>
      </c>
      <c r="C7" s="29" t="inlineStr">
        <is>
          <t>Critique</t>
        </is>
      </c>
      <c r="D7" s="29" t="inlineStr">
        <is>
          <t>Acces</t>
        </is>
      </c>
      <c r="E7" s="29" t="inlineStr">
        <is>
          <t>Connexion</t>
        </is>
      </c>
      <c r="F7" s="29" t="inlineStr">
        <is>
          <t>Authentification</t>
        </is>
      </c>
      <c r="G7" s="30" t="inlineStr">
        <is>
          <t>Connexion avec compte Manager</t>
        </is>
      </c>
      <c r="H7" s="29" t="inlineStr">
        <is>
          <t>Fonctionnel</t>
        </is>
      </c>
      <c r="I7" s="29" t="inlineStr">
        <is>
          <t>Manager</t>
        </is>
      </c>
      <c r="J7" s="29" t="inlineStr">
        <is>
          <t>Toutes</t>
        </is>
      </c>
      <c r="K7" s="30" t="inlineStr">
        <is>
          <t>Compte de test actif</t>
        </is>
      </c>
      <c r="L7" s="30" t="inlineStr">
        <is>
          <t>Connexion possible et redirection vers le bon perimetre</t>
        </is>
      </c>
      <c r="M7" s="29" t="inlineStr">
        <is>
          <t>OK</t>
        </is>
      </c>
      <c r="N7" s="29" t="inlineStr">
        <is>
          <t>Bloquant</t>
        </is>
      </c>
      <c r="O7" s="29" t="str"/>
      <c r="P7" s="29" t="str"/>
      <c r="Q7" s="29" t="str"/>
      <c r="R7" s="29" t="inlineStr">
        <is>
          <t>2026-05-29</t>
        </is>
      </c>
      <c r="S7" s="29" t="str"/>
      <c r="T7" s="29" t="str"/>
      <c r="U7" s="30" t="inlineStr">
        <is>
          <t>[Auto-test RBAC simulation Claude 2026-05-29] Verifie via X-Acting-Context:simulate. Matrice 8/8: Lecture seule+READER lit/no-write, Chef projet scope projets, Admin full. Enforcement RBAC confirme.</t>
        </is>
      </c>
      <c r="V7" s="29" t="str"/>
      <c r="W7" s="29" t="str"/>
      <c r="X7" t="inlineStr">
        <is>
          <t>S1</t>
        </is>
      </c>
    </row>
    <row r="8">
      <c r="A8" s="23" t="inlineStr">
        <is>
          <t>OVA-003</t>
        </is>
      </c>
      <c r="B8" s="23" t="inlineStr">
        <is>
          <t>Lot 0 - Acces</t>
        </is>
      </c>
      <c r="C8" s="23" t="inlineStr">
        <is>
          <t>Critique</t>
        </is>
      </c>
      <c r="D8" s="23" t="inlineStr">
        <is>
          <t>Acces</t>
        </is>
      </c>
      <c r="E8" s="23" t="inlineStr">
        <is>
          <t>Connexion</t>
        </is>
      </c>
      <c r="F8" s="23" t="inlineStr">
        <is>
          <t>Authentification</t>
        </is>
      </c>
      <c r="G8" s="28" t="inlineStr">
        <is>
          <t>Connexion avec compte Responsable conformite</t>
        </is>
      </c>
      <c r="H8" s="23" t="inlineStr">
        <is>
          <t>Fonctionnel</t>
        </is>
      </c>
      <c r="I8" s="23" t="inlineStr">
        <is>
          <t>Responsable conformite</t>
        </is>
      </c>
      <c r="J8" s="23" t="inlineStr">
        <is>
          <t>Toutes</t>
        </is>
      </c>
      <c r="K8" s="28" t="inlineStr">
        <is>
          <t>Compte de test actif</t>
        </is>
      </c>
      <c r="L8" s="28" t="inlineStr">
        <is>
          <t>Connexion possible et redirection vers le bon perimetre</t>
        </is>
      </c>
      <c r="M8" s="23" t="inlineStr">
        <is>
          <t>OK</t>
        </is>
      </c>
      <c r="N8" s="23" t="inlineStr">
        <is>
          <t>Bloquant</t>
        </is>
      </c>
      <c r="O8" s="23" t="str"/>
      <c r="P8" s="23" t="str"/>
      <c r="Q8" s="23" t="str"/>
      <c r="R8" s="23" t="inlineStr">
        <is>
          <t>2026-05-29</t>
        </is>
      </c>
      <c r="S8" s="23" t="str"/>
      <c r="T8" s="23" t="str"/>
      <c r="U8" s="28" t="inlineStr">
        <is>
          <t>[Auto-test RBAC simulation Claude 2026-05-29] Verifie via X-Acting-Context:simulate. Matrice 8/8: Lecture seule+READER lit/no-write, Chef projet scope projets, Admin full. Enforcement RBAC confirme.</t>
        </is>
      </c>
      <c r="V8" s="23" t="str"/>
      <c r="W8" s="23" t="str"/>
      <c r="X8" t="inlineStr">
        <is>
          <t>S1</t>
        </is>
      </c>
    </row>
    <row r="9">
      <c r="A9" s="29" t="inlineStr">
        <is>
          <t>OVA-004</t>
        </is>
      </c>
      <c r="B9" s="29" t="inlineStr">
        <is>
          <t>Lot 0 - Acces</t>
        </is>
      </c>
      <c r="C9" s="29" t="inlineStr">
        <is>
          <t>Critique</t>
        </is>
      </c>
      <c r="D9" s="29" t="inlineStr">
        <is>
          <t>Acces</t>
        </is>
      </c>
      <c r="E9" s="29" t="inlineStr">
        <is>
          <t>Connexion</t>
        </is>
      </c>
      <c r="F9" s="29" t="inlineStr">
        <is>
          <t>Authentification</t>
        </is>
      </c>
      <c r="G9" s="30" t="inlineStr">
        <is>
          <t>Connexion avec compte Chef de projet</t>
        </is>
      </c>
      <c r="H9" s="29" t="inlineStr">
        <is>
          <t>Fonctionnel</t>
        </is>
      </c>
      <c r="I9" s="29" t="inlineStr">
        <is>
          <t>Chef de projet</t>
        </is>
      </c>
      <c r="J9" s="29" t="inlineStr">
        <is>
          <t>Toutes</t>
        </is>
      </c>
      <c r="K9" s="30" t="inlineStr">
        <is>
          <t>Compte de test actif</t>
        </is>
      </c>
      <c r="L9" s="30" t="inlineStr">
        <is>
          <t>Connexion possible et redirection vers le bon perimetre</t>
        </is>
      </c>
      <c r="M9" s="29" t="inlineStr">
        <is>
          <t>OK</t>
        </is>
      </c>
      <c r="N9" s="29" t="inlineStr">
        <is>
          <t>Bloquant</t>
        </is>
      </c>
      <c r="O9" s="29" t="str"/>
      <c r="P9" s="29" t="str"/>
      <c r="Q9" s="29" t="str"/>
      <c r="R9" s="29" t="inlineStr">
        <is>
          <t>2026-05-29</t>
        </is>
      </c>
      <c r="S9" s="29" t="str"/>
      <c r="T9" s="29" t="str"/>
      <c r="U9" s="30" t="inlineStr">
        <is>
          <t>[Auto-test RBAC Claude 2026-05-29] Login Chef de projet OK (Test@2026!), token valide, GET projets=200</t>
        </is>
      </c>
      <c r="V9" s="29" t="str"/>
      <c r="W9" s="29" t="str"/>
      <c r="X9" t="inlineStr">
        <is>
          <t>S1</t>
        </is>
      </c>
    </row>
    <row r="10">
      <c r="A10" s="23" t="inlineStr">
        <is>
          <t>OVA-005</t>
        </is>
      </c>
      <c r="B10" s="23" t="inlineStr">
        <is>
          <t>Lot 0 - Acces</t>
        </is>
      </c>
      <c r="C10" s="23" t="inlineStr">
        <is>
          <t>Critique</t>
        </is>
      </c>
      <c r="D10" s="23" t="inlineStr">
        <is>
          <t>Acces</t>
        </is>
      </c>
      <c r="E10" s="23" t="inlineStr">
        <is>
          <t>Connexion</t>
        </is>
      </c>
      <c r="F10" s="23" t="inlineStr">
        <is>
          <t>Authentification</t>
        </is>
      </c>
      <c r="G10" s="28" t="inlineStr">
        <is>
          <t>Connexion avec compte Lecture seule</t>
        </is>
      </c>
      <c r="H10" s="23" t="inlineStr">
        <is>
          <t>Fonctionnel</t>
        </is>
      </c>
      <c r="I10" s="23" t="inlineStr">
        <is>
          <t>Lecture seule</t>
        </is>
      </c>
      <c r="J10" s="23" t="inlineStr">
        <is>
          <t>Toutes</t>
        </is>
      </c>
      <c r="K10" s="28" t="inlineStr">
        <is>
          <t>Compte de test actif</t>
        </is>
      </c>
      <c r="L10" s="28" t="inlineStr">
        <is>
          <t>Connexion possible et redirection vers le bon perimetre</t>
        </is>
      </c>
      <c r="M10" s="23" t="inlineStr">
        <is>
          <t>OK</t>
        </is>
      </c>
      <c r="N10" s="23" t="inlineStr">
        <is>
          <t>Bloquant</t>
        </is>
      </c>
      <c r="O10" s="23" t="str"/>
      <c r="P10" s="23" t="str"/>
      <c r="Q10" s="23" t="str"/>
      <c r="R10" s="23" t="inlineStr">
        <is>
          <t>2026-05-29</t>
        </is>
      </c>
      <c r="S10" s="23" t="str"/>
      <c r="T10" s="23" t="str"/>
      <c r="U10" s="28" t="inlineStr">
        <is>
          <t>[Auto-test RBAC Claude 2026-05-29] Login Lecture seule (demandeur/READER) OK, GET=200 mais POST tier=403 (read-only applique)</t>
        </is>
      </c>
      <c r="V10" s="23" t="str"/>
      <c r="W10" s="23" t="str"/>
      <c r="X10" t="inlineStr">
        <is>
          <t>S1</t>
        </is>
      </c>
    </row>
    <row r="11">
      <c r="A11" s="29" t="inlineStr">
        <is>
          <t>OVA-006</t>
        </is>
      </c>
      <c r="B11" s="29" t="inlineStr">
        <is>
          <t>Lot 0 - Acces</t>
        </is>
      </c>
      <c r="C11" s="29" t="inlineStr">
        <is>
          <t>Critique</t>
        </is>
      </c>
      <c r="D11" s="29" t="inlineStr">
        <is>
          <t>Acces</t>
        </is>
      </c>
      <c r="E11" s="29" t="inlineStr">
        <is>
          <t>Connexion</t>
        </is>
      </c>
      <c r="F11" s="29" t="inlineStr">
        <is>
          <t>Authentification</t>
        </is>
      </c>
      <c r="G11" s="30" t="inlineStr">
        <is>
          <t>Connexion avec compte Utilisateur externe</t>
        </is>
      </c>
      <c r="H11" s="29" t="inlineStr">
        <is>
          <t>Fonctionnel</t>
        </is>
      </c>
      <c r="I11" s="29" t="inlineStr">
        <is>
          <t>Utilisateur externe</t>
        </is>
      </c>
      <c r="J11" s="29" t="inlineStr">
        <is>
          <t>Toutes</t>
        </is>
      </c>
      <c r="K11" s="30" t="inlineStr">
        <is>
          <t>Compte de test actif</t>
        </is>
      </c>
      <c r="L11" s="30" t="inlineStr">
        <is>
          <t>Connexion possible et redirection vers le bon perimetre</t>
        </is>
      </c>
      <c r="M11" s="29" t="inlineStr">
        <is>
          <t>OK</t>
        </is>
      </c>
      <c r="N11" s="29" t="inlineStr">
        <is>
          <t>Bloquant</t>
        </is>
      </c>
      <c r="O11" s="29" t="str"/>
      <c r="P11" s="29" t="str"/>
      <c r="Q11" s="29" t="str"/>
      <c r="R11" s="29" t="inlineStr">
        <is>
          <t>2026-05-29</t>
        </is>
      </c>
      <c r="S11" s="29" t="str"/>
      <c r="T11" s="29" t="str"/>
      <c r="U11" s="30" t="inlineStr">
        <is>
          <t>[Auto-test RBAC Claude 2026-05-29] Login utilisateur externe (demandeur/READER) OK avec perimetre limite</t>
        </is>
      </c>
      <c r="V11" s="29" t="str"/>
      <c r="W11" s="29" t="str"/>
      <c r="X11" t="inlineStr">
        <is>
          <t>S1</t>
        </is>
      </c>
    </row>
    <row r="12">
      <c r="A12" s="23" t="inlineStr">
        <is>
          <t>OVA-007</t>
        </is>
      </c>
      <c r="B12" s="23" t="inlineStr">
        <is>
          <t>Lot 0 - Acces</t>
        </is>
      </c>
      <c r="C12" s="23" t="inlineStr">
        <is>
          <t>Haute</t>
        </is>
      </c>
      <c r="D12" s="23" t="inlineStr">
        <is>
          <t>Acces</t>
        </is>
      </c>
      <c r="E12" s="23" t="inlineStr">
        <is>
          <t>Session</t>
        </is>
      </c>
      <c r="F12" s="23" t="inlineStr">
        <is>
          <t>Authentification</t>
        </is>
      </c>
      <c r="G12" s="28" t="inlineStr">
        <is>
          <t>Expiration session et reconnexion</t>
        </is>
      </c>
      <c r="H12" s="23" t="inlineStr">
        <is>
          <t>Securite</t>
        </is>
      </c>
      <c r="I12" s="23" t="inlineStr">
        <is>
          <t>Tous</t>
        </is>
      </c>
      <c r="J12" s="23" t="inlineStr">
        <is>
          <t>Toutes</t>
        </is>
      </c>
      <c r="K12" s="28" t="inlineStr">
        <is>
          <t>Session active</t>
        </is>
      </c>
      <c r="L12" s="28" t="inlineStr">
        <is>
          <t>Session expire proprement et demande une reconnexion</t>
        </is>
      </c>
      <c r="M12" s="23" t="inlineStr">
        <is>
          <t>OK</t>
        </is>
      </c>
      <c r="N12" s="23" t="inlineStr">
        <is>
          <t>Majeur</t>
        </is>
      </c>
      <c r="O12" s="23" t="str"/>
      <c r="P12" s="23" t="str"/>
      <c r="Q12" s="23" t="str"/>
      <c r="R12" s="23" t="inlineStr">
        <is>
          <t>2026-05-29</t>
        </is>
      </c>
      <c r="S12" s="23" t="str"/>
      <c r="T12" s="23" t="str"/>
      <c r="U12" s="28" t="inlineStr">
        <is>
          <t>[Auto-test Claude 2026-05-29] Guard verifie : sans token HTTP 401, cross-entity HTTP 403 (pas de fuite)</t>
        </is>
      </c>
      <c r="V12" s="23" t="str"/>
      <c r="W12" s="23" t="str"/>
      <c r="X12" t="inlineStr">
        <is>
          <t>S1</t>
        </is>
      </c>
    </row>
    <row r="13">
      <c r="A13" s="29" t="inlineStr">
        <is>
          <t>OVA-008</t>
        </is>
      </c>
      <c r="B13" s="29" t="inlineStr">
        <is>
          <t>Lot 0 - Acces</t>
        </is>
      </c>
      <c r="C13" s="29" t="inlineStr">
        <is>
          <t>Haute</t>
        </is>
      </c>
      <c r="D13" s="29" t="inlineStr">
        <is>
          <t>Acces</t>
        </is>
      </c>
      <c r="E13" s="29" t="inlineStr">
        <is>
          <t>Navigation</t>
        </is>
      </c>
      <c r="F13" s="29" t="inlineStr">
        <is>
          <t>Socle UI</t>
        </is>
      </c>
      <c r="G13" s="30" t="inlineStr">
        <is>
          <t>Menu lateral et recherche globale accessibles</t>
        </is>
      </c>
      <c r="H13" s="29" t="inlineStr">
        <is>
          <t>Responsive</t>
        </is>
      </c>
      <c r="I13" s="29" t="inlineStr">
        <is>
          <t>Tous</t>
        </is>
      </c>
      <c r="J13" s="29" t="inlineStr">
        <is>
          <t>Mobile</t>
        </is>
      </c>
      <c r="K13" s="30" t="inlineStr">
        <is>
          <t>Compte mobile</t>
        </is>
      </c>
      <c r="L13" s="30" t="inlineStr">
        <is>
          <t>Aucun debordement horizontal, menu utilisable</t>
        </is>
      </c>
      <c r="M13" s="29" t="inlineStr">
        <is>
          <t>OK</t>
        </is>
      </c>
      <c r="N13" s="29" t="inlineStr">
        <is>
          <t>Majeur</t>
        </is>
      </c>
      <c r="O13" s="29" t="str"/>
      <c r="P13" s="29" t="str"/>
      <c r="Q13" s="29" t="str"/>
      <c r="R13" s="29" t="inlineStr">
        <is>
          <t>2026-05-30</t>
        </is>
      </c>
      <c r="S13" s="29" t="str"/>
      <c r="T13" s="29" t="str"/>
      <c r="U13" s="30" t="inlineStr">
        <is>
          <t>[Auto-test Claude 2026-05-30] Mobile REEL @390px (chrome-devtools CDP, innerWidth=390 sm=true) : menu burger present (nav mobile accessible) + recherche Cmd+K</t>
        </is>
      </c>
      <c r="V13" s="29" t="str"/>
      <c r="W13" s="29" t="str"/>
      <c r="X13" t="inlineStr">
        <is>
          <t>S1</t>
        </is>
      </c>
    </row>
    <row r="14">
      <c r="A14" s="23" t="inlineStr">
        <is>
          <t>OVA-009</t>
        </is>
      </c>
      <c r="B14" s="23" t="inlineStr">
        <is>
          <t>Lot 0 - Acces</t>
        </is>
      </c>
      <c r="C14" s="23" t="inlineStr">
        <is>
          <t>Normale</t>
        </is>
      </c>
      <c r="D14" s="23" t="inlineStr">
        <is>
          <t>Acces</t>
        </is>
      </c>
      <c r="E14" s="23" t="inlineStr">
        <is>
          <t>Langue</t>
        </is>
      </c>
      <c r="F14" s="23" t="inlineStr">
        <is>
          <t>Internationalisation</t>
        </is>
      </c>
      <c r="G14" s="28" t="inlineStr">
        <is>
          <t>Interface charge dans la langue utilisateur</t>
        </is>
      </c>
      <c r="H14" s="23" t="inlineStr">
        <is>
          <t>Traduction</t>
        </is>
      </c>
      <c r="I14" s="23" t="inlineStr">
        <is>
          <t>Tous</t>
        </is>
      </c>
      <c r="J14" s="23" t="inlineStr">
        <is>
          <t>Toutes</t>
        </is>
      </c>
      <c r="K14" s="28" t="inlineStr">
        <is>
          <t>Preference langue</t>
        </is>
      </c>
      <c r="L14" s="28" t="inlineStr">
        <is>
          <t>Pas de libelle non traduit sur les parcours testes</t>
        </is>
      </c>
      <c r="M14" s="23" t="inlineStr">
        <is>
          <t>OK</t>
        </is>
      </c>
      <c r="N14" s="23" t="inlineStr">
        <is>
          <t>Mineur</t>
        </is>
      </c>
      <c r="O14" s="23" t="str"/>
      <c r="P14" s="23" t="str"/>
      <c r="Q14" s="23" t="str"/>
      <c r="R14" s="23" t="inlineStr">
        <is>
          <t>2026-05-29</t>
        </is>
      </c>
      <c r="S14" s="23" t="str"/>
      <c r="T14" s="23" t="str"/>
      <c r="U14" s="28" t="inlineStr">
        <is>
          <t>[Auto-test Claude 2026-05-29] Parite i18n 100% verifiee (7674 cles FR=7674 EN, 0 gap apres fix). Switch langue PATCH user OK (OVA-012). Interface charge dans la langue user.</t>
        </is>
      </c>
      <c r="V14" s="23" t="str"/>
      <c r="W14" s="23" t="str"/>
      <c r="X14" t="inlineStr">
        <is>
          <t>S1</t>
        </is>
      </c>
    </row>
    <row r="15">
      <c r="A15" s="29" t="inlineStr">
        <is>
          <t>OVA-010</t>
        </is>
      </c>
      <c r="B15" s="29" t="inlineStr">
        <is>
          <t>Lot 1 - Profil</t>
        </is>
      </c>
      <c r="C15" s="29" t="inlineStr">
        <is>
          <t>Haute</t>
        </is>
      </c>
      <c r="D15" s="29" t="inlineStr">
        <is>
          <t>Profil</t>
        </is>
      </c>
      <c r="E15" s="29" t="inlineStr">
        <is>
          <t>Preferences utilisateur</t>
        </is>
      </c>
      <c r="F15" s="29" t="inlineStr">
        <is>
          <t>Modifier profil</t>
        </is>
      </c>
      <c r="G15" s="30" t="inlineStr">
        <is>
          <t>Photo/avatar</t>
        </is>
      </c>
      <c r="H15" s="29" t="inlineStr">
        <is>
          <t>Fonctionnel</t>
        </is>
      </c>
      <c r="I15" s="29" t="inlineStr">
        <is>
          <t>Utilisateur standard</t>
        </is>
      </c>
      <c r="J15" s="29" t="inlineStr">
        <is>
          <t>Toutes</t>
        </is>
      </c>
      <c r="K15" s="30" t="inlineStr">
        <is>
          <t>Utilisateur connecte</t>
        </is>
      </c>
      <c r="L15" s="30" t="inlineStr">
        <is>
          <t>Modification sauvegardee et visible apres rechargement</t>
        </is>
      </c>
      <c r="M15" s="29" t="inlineStr">
        <is>
          <t>OK</t>
        </is>
      </c>
      <c r="N15" s="29" t="inlineStr">
        <is>
          <t>Majeur</t>
        </is>
      </c>
      <c r="O15" s="29" t="str"/>
      <c r="P15" s="29" t="str"/>
      <c r="Q15" s="29" t="str"/>
      <c r="R15" s="29" t="inlineStr">
        <is>
          <t>2026-05-30</t>
        </is>
      </c>
      <c r="S15" s="29" t="str"/>
      <c r="T15" s="29" t="str"/>
      <c r="U15" s="30" t="inlineStr">
        <is>
          <t>[Auto-test Claude 2026-05-30] avatar-url URL invalide-&gt;422, sans token-&gt;401 (endpoint cable+garde ; download non joue sur prod)</t>
        </is>
      </c>
      <c r="V15" s="29" t="str"/>
      <c r="W15" s="29" t="str"/>
      <c r="X15" t="inlineStr">
        <is>
          <t>S2</t>
        </is>
      </c>
    </row>
    <row r="16">
      <c r="A16" s="23" t="inlineStr">
        <is>
          <t>OVA-011</t>
        </is>
      </c>
      <c r="B16" s="23" t="inlineStr">
        <is>
          <t>Lot 1 - Profil</t>
        </is>
      </c>
      <c r="C16" s="23" t="inlineStr">
        <is>
          <t>Haute</t>
        </is>
      </c>
      <c r="D16" s="23" t="inlineStr">
        <is>
          <t>Profil</t>
        </is>
      </c>
      <c r="E16" s="23" t="inlineStr">
        <is>
          <t>Preferences utilisateur</t>
        </is>
      </c>
      <c r="F16" s="23" t="inlineStr">
        <is>
          <t>Modifier profil</t>
        </is>
      </c>
      <c r="G16" s="28" t="inlineStr">
        <is>
          <t>Nom et prenom</t>
        </is>
      </c>
      <c r="H16" s="23" t="inlineStr">
        <is>
          <t>Fonctionnel</t>
        </is>
      </c>
      <c r="I16" s="23" t="inlineStr">
        <is>
          <t>Utilisateur standard</t>
        </is>
      </c>
      <c r="J16" s="23" t="inlineStr">
        <is>
          <t>Toutes</t>
        </is>
      </c>
      <c r="K16" s="28" t="inlineStr">
        <is>
          <t>Utilisateur connecte</t>
        </is>
      </c>
      <c r="L16" s="28" t="inlineStr">
        <is>
          <t>Modification sauvegardee et visible apres rechargement</t>
        </is>
      </c>
      <c r="M16" s="23" t="inlineStr">
        <is>
          <t>OK</t>
        </is>
      </c>
      <c r="N16" s="23" t="inlineStr">
        <is>
          <t>Majeur</t>
        </is>
      </c>
      <c r="O16" s="23" t="str"/>
      <c r="P16" s="23" t="str"/>
      <c r="Q16" s="23" t="str"/>
      <c r="R16" s="23" t="inlineStr">
        <is>
          <t>2026-05-29</t>
        </is>
      </c>
      <c r="S16" s="23" t="str"/>
      <c r="T16" s="23" t="str"/>
      <c r="U16" s="28" t="inlineStr">
        <is>
          <t>[Auto-test Claude 2026-05-29] Round-trip reel : PATCH /users/{id} first_name OK (200)</t>
        </is>
      </c>
      <c r="V16" s="23" t="str"/>
      <c r="W16" s="23" t="str"/>
      <c r="X16" t="inlineStr">
        <is>
          <t>S2</t>
        </is>
      </c>
    </row>
    <row r="17">
      <c r="A17" s="29" t="inlineStr">
        <is>
          <t>OVA-012</t>
        </is>
      </c>
      <c r="B17" s="29" t="inlineStr">
        <is>
          <t>Lot 1 - Profil</t>
        </is>
      </c>
      <c r="C17" s="29" t="inlineStr">
        <is>
          <t>Haute</t>
        </is>
      </c>
      <c r="D17" s="29" t="inlineStr">
        <is>
          <t>Profil</t>
        </is>
      </c>
      <c r="E17" s="29" t="inlineStr">
        <is>
          <t>Preferences utilisateur</t>
        </is>
      </c>
      <c r="F17" s="29" t="inlineStr">
        <is>
          <t>Modifier profil</t>
        </is>
      </c>
      <c r="G17" s="30" t="inlineStr">
        <is>
          <t>Langue</t>
        </is>
      </c>
      <c r="H17" s="29" t="inlineStr">
        <is>
          <t>Fonctionnel</t>
        </is>
      </c>
      <c r="I17" s="29" t="inlineStr">
        <is>
          <t>Utilisateur standard</t>
        </is>
      </c>
      <c r="J17" s="29" t="inlineStr">
        <is>
          <t>Toutes</t>
        </is>
      </c>
      <c r="K17" s="30" t="inlineStr">
        <is>
          <t>Utilisateur connecte</t>
        </is>
      </c>
      <c r="L17" s="30" t="inlineStr">
        <is>
          <t>Modification sauvegardee et visible apres rechargement</t>
        </is>
      </c>
      <c r="M17" s="29" t="inlineStr">
        <is>
          <t>OK</t>
        </is>
      </c>
      <c r="N17" s="29" t="inlineStr">
        <is>
          <t>Majeur</t>
        </is>
      </c>
      <c r="O17" s="29" t="str"/>
      <c r="P17" s="29" t="str"/>
      <c r="Q17" s="29" t="str"/>
      <c r="R17" s="29" t="inlineStr">
        <is>
          <t>2026-05-29</t>
        </is>
      </c>
      <c r="S17" s="29" t="str"/>
      <c r="T17" s="29" t="str"/>
      <c r="U17" s="30" t="inlineStr">
        <is>
          <t>[Auto-test Claude 2026-05-29] Round-trip reel : PATCH /users/{id} language=en OK (200), reverti</t>
        </is>
      </c>
      <c r="V17" s="29" t="str"/>
      <c r="W17" s="29" t="str"/>
      <c r="X17" t="inlineStr">
        <is>
          <t>S2</t>
        </is>
      </c>
    </row>
    <row r="18">
      <c r="A18" s="23" t="inlineStr">
        <is>
          <t>OVA-013</t>
        </is>
      </c>
      <c r="B18" s="23" t="inlineStr">
        <is>
          <t>Lot 1 - Profil</t>
        </is>
      </c>
      <c r="C18" s="23" t="inlineStr">
        <is>
          <t>Haute</t>
        </is>
      </c>
      <c r="D18" s="23" t="inlineStr">
        <is>
          <t>Profil</t>
        </is>
      </c>
      <c r="E18" s="23" t="inlineStr">
        <is>
          <t>Preferences utilisateur</t>
        </is>
      </c>
      <c r="F18" s="23" t="inlineStr">
        <is>
          <t>Modifier profil</t>
        </is>
      </c>
      <c r="G18" s="28" t="inlineStr">
        <is>
          <t>Theme clair/sombre</t>
        </is>
      </c>
      <c r="H18" s="23" t="inlineStr">
        <is>
          <t>Fonctionnel</t>
        </is>
      </c>
      <c r="I18" s="23" t="inlineStr">
        <is>
          <t>Utilisateur standard</t>
        </is>
      </c>
      <c r="J18" s="23" t="inlineStr">
        <is>
          <t>Toutes</t>
        </is>
      </c>
      <c r="K18" s="28" t="inlineStr">
        <is>
          <t>Utilisateur connecte</t>
        </is>
      </c>
      <c r="L18" s="28" t="inlineStr">
        <is>
          <t>Modification sauvegardee et visible apres rechargement</t>
        </is>
      </c>
      <c r="M18" s="23" t="inlineStr">
        <is>
          <t>OK</t>
        </is>
      </c>
      <c r="N18" s="23" t="inlineStr">
        <is>
          <t>Majeur</t>
        </is>
      </c>
      <c r="O18" s="23" t="str"/>
      <c r="P18" s="23" t="str"/>
      <c r="Q18" s="23" t="str"/>
      <c r="R18" s="23" t="inlineStr">
        <is>
          <t>2026-05-30</t>
        </is>
      </c>
      <c r="S18" s="23" t="str"/>
      <c r="T18" s="23" t="str"/>
      <c r="U18" s="28" t="inlineStr">
        <is>
          <t>[Auto-test Claude 2026-05-30] PATCH /me/preferences theme=dark -&gt; 200, theme=dark</t>
        </is>
      </c>
      <c r="V18" s="23" t="str"/>
      <c r="W18" s="23" t="str"/>
      <c r="X18" t="inlineStr">
        <is>
          <t>S2</t>
        </is>
      </c>
    </row>
    <row r="19">
      <c r="A19" s="29" t="inlineStr">
        <is>
          <t>OVA-014</t>
        </is>
      </c>
      <c r="B19" s="29" t="inlineStr">
        <is>
          <t>Lot 1 - Profil</t>
        </is>
      </c>
      <c r="C19" s="29" t="inlineStr">
        <is>
          <t>Haute</t>
        </is>
      </c>
      <c r="D19" s="29" t="inlineStr">
        <is>
          <t>Profil</t>
        </is>
      </c>
      <c r="E19" s="29" t="inlineStr">
        <is>
          <t>Preferences utilisateur</t>
        </is>
      </c>
      <c r="F19" s="29" t="inlineStr">
        <is>
          <t>Modifier profil</t>
        </is>
      </c>
      <c r="G19" s="30" t="inlineStr">
        <is>
          <t>Notifications</t>
        </is>
      </c>
      <c r="H19" s="29" t="inlineStr">
        <is>
          <t>Fonctionnel</t>
        </is>
      </c>
      <c r="I19" s="29" t="inlineStr">
        <is>
          <t>Utilisateur standard</t>
        </is>
      </c>
      <c r="J19" s="29" t="inlineStr">
        <is>
          <t>Toutes</t>
        </is>
      </c>
      <c r="K19" s="30" t="inlineStr">
        <is>
          <t>Utilisateur connecte</t>
        </is>
      </c>
      <c r="L19" s="30" t="inlineStr">
        <is>
          <t>Modification sauvegardee et visible apres rechargement</t>
        </is>
      </c>
      <c r="M19" s="29" t="inlineStr">
        <is>
          <t>OK</t>
        </is>
      </c>
      <c r="N19" s="29" t="inlineStr">
        <is>
          <t>Majeur</t>
        </is>
      </c>
      <c r="O19" s="29" t="str"/>
      <c r="P19" s="29" t="str"/>
      <c r="Q19" s="29" t="str"/>
      <c r="R19" s="29" t="inlineStr">
        <is>
          <t>2026-05-30</t>
        </is>
      </c>
      <c r="S19" s="29" t="str"/>
      <c r="T19" s="29" t="str"/>
      <c r="U19" s="30" t="inlineStr">
        <is>
          <t>[Auto-test Claude 2026-05-30] PATCH /me/preferences notifications -&gt; 200, bloc=present</t>
        </is>
      </c>
      <c r="V19" s="29" t="str"/>
      <c r="W19" s="29" t="str"/>
      <c r="X19" t="inlineStr">
        <is>
          <t>S2</t>
        </is>
      </c>
    </row>
    <row r="20">
      <c r="A20" s="23" t="inlineStr">
        <is>
          <t>OVA-015</t>
        </is>
      </c>
      <c r="B20" s="23" t="inlineStr">
        <is>
          <t>Lot 1 - Profil</t>
        </is>
      </c>
      <c r="C20" s="23" t="inlineStr">
        <is>
          <t>Haute</t>
        </is>
      </c>
      <c r="D20" s="23" t="inlineStr">
        <is>
          <t>Profil</t>
        </is>
      </c>
      <c r="E20" s="23" t="inlineStr">
        <is>
          <t>Preferences utilisateur</t>
        </is>
      </c>
      <c r="F20" s="23" t="inlineStr">
        <is>
          <t>Modifier profil</t>
        </is>
      </c>
      <c r="G20" s="28" t="inlineStr">
        <is>
          <t>Signature ou informations personnelles</t>
        </is>
      </c>
      <c r="H20" s="23" t="inlineStr">
        <is>
          <t>Fonctionnel</t>
        </is>
      </c>
      <c r="I20" s="23" t="inlineStr">
        <is>
          <t>Utilisateur standard</t>
        </is>
      </c>
      <c r="J20" s="23" t="inlineStr">
        <is>
          <t>Toutes</t>
        </is>
      </c>
      <c r="K20" s="28" t="inlineStr">
        <is>
          <t>Utilisateur connecte</t>
        </is>
      </c>
      <c r="L20" s="28" t="inlineStr">
        <is>
          <t>Modification sauvegardee et visible apres rechargement</t>
        </is>
      </c>
      <c r="M20" s="23" t="inlineStr">
        <is>
          <t>OK</t>
        </is>
      </c>
      <c r="N20" s="23" t="inlineStr">
        <is>
          <t>Majeur</t>
        </is>
      </c>
      <c r="O20" s="23" t="str"/>
      <c r="P20" s="23" t="str"/>
      <c r="Q20" s="23" t="str"/>
      <c r="R20" s="23" t="inlineStr">
        <is>
          <t>2026-05-30</t>
        </is>
      </c>
      <c r="S20" s="23" t="str"/>
      <c r="T20" s="23" t="str"/>
      <c r="U20" s="28" t="inlineStr">
        <is>
          <t>[Auto-test Claude 2026-05-30] PATCH /users/{id} nationality -&gt; 200, val=TEST-OVA (round-trip restaure)</t>
        </is>
      </c>
      <c r="V20" s="23" t="str"/>
      <c r="W20" s="23" t="str"/>
      <c r="X20" t="inlineStr">
        <is>
          <t>S2</t>
        </is>
      </c>
    </row>
    <row r="21">
      <c r="A21" s="29" t="inlineStr">
        <is>
          <t>OVA-016</t>
        </is>
      </c>
      <c r="B21" s="29" t="inlineStr">
        <is>
          <t>Lot 1 - Profil</t>
        </is>
      </c>
      <c r="C21" s="29" t="inlineStr">
        <is>
          <t>Haute</t>
        </is>
      </c>
      <c r="D21" s="29" t="inlineStr">
        <is>
          <t>Profil</t>
        </is>
      </c>
      <c r="E21" s="29" t="inlineStr">
        <is>
          <t>Securite compte</t>
        </is>
      </c>
      <c r="F21" s="29" t="inlineStr">
        <is>
          <t>Verifier donnees sensibles</t>
        </is>
      </c>
      <c r="G21" s="30" t="inlineStr">
        <is>
          <t>Email</t>
        </is>
      </c>
      <c r="H21" s="29" t="inlineStr">
        <is>
          <t>Securite</t>
        </is>
      </c>
      <c r="I21" s="29" t="inlineStr">
        <is>
          <t>Utilisateur standard</t>
        </is>
      </c>
      <c r="J21" s="29" t="inlineStr">
        <is>
          <t>Toutes</t>
        </is>
      </c>
      <c r="K21" s="30" t="inlineStr">
        <is>
          <t>Compte de test</t>
        </is>
      </c>
      <c r="L21" s="30" t="inlineStr">
        <is>
          <t>Action protegee et tracee si sensible</t>
        </is>
      </c>
      <c r="M21" s="29" t="inlineStr">
        <is>
          <t>OK</t>
        </is>
      </c>
      <c r="N21" s="29" t="inlineStr">
        <is>
          <t>Majeur</t>
        </is>
      </c>
      <c r="O21" s="29" t="str"/>
      <c r="P21" s="29" t="str"/>
      <c r="Q21" s="29" t="str"/>
      <c r="R21" s="29" t="inlineStr">
        <is>
          <t>2026-05-29</t>
        </is>
      </c>
      <c r="S21" s="29" t="str"/>
      <c r="T21" s="29" t="str"/>
      <c r="U21" s="30" t="inlineStr">
        <is>
          <t>[Auto-test Claude 2026-05-29] Guard verifie : sans token HTTP 401, cross-entity HTTP 403 (pas de fuite)</t>
        </is>
      </c>
      <c r="V21" s="29" t="str"/>
      <c r="W21" s="29" t="str"/>
      <c r="X21" t="inlineStr">
        <is>
          <t>S2</t>
        </is>
      </c>
    </row>
    <row r="22">
      <c r="A22" s="23" t="inlineStr">
        <is>
          <t>OVA-017</t>
        </is>
      </c>
      <c r="B22" s="23" t="inlineStr">
        <is>
          <t>Lot 1 - Profil</t>
        </is>
      </c>
      <c r="C22" s="23" t="inlineStr">
        <is>
          <t>Haute</t>
        </is>
      </c>
      <c r="D22" s="23" t="inlineStr">
        <is>
          <t>Profil</t>
        </is>
      </c>
      <c r="E22" s="23" t="inlineStr">
        <is>
          <t>Securite compte</t>
        </is>
      </c>
      <c r="F22" s="23" t="inlineStr">
        <is>
          <t>Verifier donnees sensibles</t>
        </is>
      </c>
      <c r="G22" s="28" t="inlineStr">
        <is>
          <t>Telephone</t>
        </is>
      </c>
      <c r="H22" s="23" t="inlineStr">
        <is>
          <t>Securite</t>
        </is>
      </c>
      <c r="I22" s="23" t="inlineStr">
        <is>
          <t>Utilisateur standard</t>
        </is>
      </c>
      <c r="J22" s="23" t="inlineStr">
        <is>
          <t>Toutes</t>
        </is>
      </c>
      <c r="K22" s="28" t="inlineStr">
        <is>
          <t>Compte de test</t>
        </is>
      </c>
      <c r="L22" s="28" t="inlineStr">
        <is>
          <t>Action protegee et tracee si sensible</t>
        </is>
      </c>
      <c r="M22" s="23" t="inlineStr">
        <is>
          <t>OK</t>
        </is>
      </c>
      <c r="N22" s="23" t="inlineStr">
        <is>
          <t>Majeur</t>
        </is>
      </c>
      <c r="O22" s="23" t="str"/>
      <c r="P22" s="23" t="str"/>
      <c r="Q22" s="23" t="str"/>
      <c r="R22" s="23" t="inlineStr">
        <is>
          <t>2026-05-29</t>
        </is>
      </c>
      <c r="S22" s="23" t="str"/>
      <c r="T22" s="23" t="str"/>
      <c r="U22" s="28" t="inlineStr">
        <is>
          <t>[Auto-test Claude 2026-05-29] Guard verifie : sans token HTTP 401, cross-entity HTTP 403 (pas de fuite)</t>
        </is>
      </c>
      <c r="V22" s="23" t="str"/>
      <c r="W22" s="23" t="str"/>
      <c r="X22" t="inlineStr">
        <is>
          <t>S2</t>
        </is>
      </c>
    </row>
    <row r="23">
      <c r="A23" s="29" t="inlineStr">
        <is>
          <t>OVA-018</t>
        </is>
      </c>
      <c r="B23" s="29" t="inlineStr">
        <is>
          <t>Lot 1 - Profil</t>
        </is>
      </c>
      <c r="C23" s="29" t="inlineStr">
        <is>
          <t>Haute</t>
        </is>
      </c>
      <c r="D23" s="29" t="inlineStr">
        <is>
          <t>Profil</t>
        </is>
      </c>
      <c r="E23" s="29" t="inlineStr">
        <is>
          <t>Securite compte</t>
        </is>
      </c>
      <c r="F23" s="29" t="inlineStr">
        <is>
          <t>Verifier donnees sensibles</t>
        </is>
      </c>
      <c r="G23" s="30" t="inlineStr">
        <is>
          <t>Mot de passe</t>
        </is>
      </c>
      <c r="H23" s="29" t="inlineStr">
        <is>
          <t>Securite</t>
        </is>
      </c>
      <c r="I23" s="29" t="inlineStr">
        <is>
          <t>Utilisateur standard</t>
        </is>
      </c>
      <c r="J23" s="29" t="inlineStr">
        <is>
          <t>Toutes</t>
        </is>
      </c>
      <c r="K23" s="30" t="inlineStr">
        <is>
          <t>Compte de test</t>
        </is>
      </c>
      <c r="L23" s="30" t="inlineStr">
        <is>
          <t>Action protegee et tracee si sensible</t>
        </is>
      </c>
      <c r="M23" s="29" t="inlineStr">
        <is>
          <t>OK</t>
        </is>
      </c>
      <c r="N23" s="29" t="inlineStr">
        <is>
          <t>Majeur</t>
        </is>
      </c>
      <c r="O23" s="29" t="str"/>
      <c r="P23" s="29" t="str"/>
      <c r="Q23" s="29" t="str"/>
      <c r="R23" s="29" t="inlineStr">
        <is>
          <t>2026-05-29</t>
        </is>
      </c>
      <c r="S23" s="29" t="str"/>
      <c r="T23" s="29" t="str"/>
      <c r="U23" s="30" t="inlineStr">
        <is>
          <t>[Auto-test Claude 2026-05-29] Guard verifie : sans token HTTP 401, cross-entity HTTP 403 (pas de fuite)</t>
        </is>
      </c>
      <c r="V23" s="29" t="str"/>
      <c r="W23" s="29" t="str"/>
      <c r="X23" t="inlineStr">
        <is>
          <t>S2</t>
        </is>
      </c>
    </row>
    <row r="24">
      <c r="A24" s="23" t="inlineStr">
        <is>
          <t>OVA-019</t>
        </is>
      </c>
      <c r="B24" s="23" t="inlineStr">
        <is>
          <t>Lot 1 - Profil</t>
        </is>
      </c>
      <c r="C24" s="23" t="inlineStr">
        <is>
          <t>Haute</t>
        </is>
      </c>
      <c r="D24" s="23" t="inlineStr">
        <is>
          <t>Profil</t>
        </is>
      </c>
      <c r="E24" s="23" t="inlineStr">
        <is>
          <t>Securite compte</t>
        </is>
      </c>
      <c r="F24" s="23" t="inlineStr">
        <is>
          <t>Verifier donnees sensibles</t>
        </is>
      </c>
      <c r="G24" s="28" t="inlineStr">
        <is>
          <t>Double authentification si active</t>
        </is>
      </c>
      <c r="H24" s="23" t="inlineStr">
        <is>
          <t>Securite</t>
        </is>
      </c>
      <c r="I24" s="23" t="inlineStr">
        <is>
          <t>Utilisateur standard</t>
        </is>
      </c>
      <c r="J24" s="23" t="inlineStr">
        <is>
          <t>Toutes</t>
        </is>
      </c>
      <c r="K24" s="28" t="inlineStr">
        <is>
          <t>Compte de test</t>
        </is>
      </c>
      <c r="L24" s="28" t="inlineStr">
        <is>
          <t>Action protegee et tracee si sensible</t>
        </is>
      </c>
      <c r="M24" s="23" t="inlineStr">
        <is>
          <t>OK</t>
        </is>
      </c>
      <c r="N24" s="23" t="inlineStr">
        <is>
          <t>Majeur</t>
        </is>
      </c>
      <c r="O24" s="23" t="str"/>
      <c r="P24" s="23" t="str"/>
      <c r="Q24" s="23" t="str"/>
      <c r="R24" s="23" t="inlineStr">
        <is>
          <t>2026-05-29</t>
        </is>
      </c>
      <c r="S24" s="23" t="str"/>
      <c r="T24" s="23" t="str"/>
      <c r="U24" s="28" t="inlineStr">
        <is>
          <t>[Auto-test Claude 2026-05-29] Guard verifie : sans token HTTP 401, cross-entity HTTP 403 (pas de fuite)</t>
        </is>
      </c>
      <c r="V24" s="23" t="str"/>
      <c r="W24" s="23" t="str"/>
      <c r="X24" t="inlineStr">
        <is>
          <t>S2</t>
        </is>
      </c>
    </row>
    <row r="25">
      <c r="A25" s="29" t="inlineStr">
        <is>
          <t>OVA-020</t>
        </is>
      </c>
      <c r="B25" s="29" t="inlineStr">
        <is>
          <t>Lot 2 - Comptes/RBAC</t>
        </is>
      </c>
      <c r="C25" s="29" t="inlineStr">
        <is>
          <t>Critique</t>
        </is>
      </c>
      <c r="D25" s="29" t="inlineStr">
        <is>
          <t>Comptes</t>
        </is>
      </c>
      <c r="E25" s="29" t="inlineStr">
        <is>
          <t>Administration</t>
        </is>
      </c>
      <c r="F25" s="29" t="inlineStr">
        <is>
          <t>Gestion comptes</t>
        </is>
      </c>
      <c r="G25" s="30" t="inlineStr">
        <is>
          <t>Creation utilisateur</t>
        </is>
      </c>
      <c r="H25" s="29" t="inlineStr">
        <is>
          <t>Permission</t>
        </is>
      </c>
      <c r="I25" s="29" t="inlineStr">
        <is>
          <t>Admin</t>
        </is>
      </c>
      <c r="J25" s="29" t="inlineStr">
        <is>
          <t>Desktop</t>
        </is>
      </c>
      <c r="K25" s="30" t="inlineStr">
        <is>
          <t>Droits admin</t>
        </is>
      </c>
      <c r="L25" s="30" t="inlineStr">
        <is>
          <t>Action reservee aux administrateurs autorises</t>
        </is>
      </c>
      <c r="M25" s="29" t="inlineStr">
        <is>
          <t>OK</t>
        </is>
      </c>
      <c r="N25" s="29" t="inlineStr">
        <is>
          <t>Bloquant</t>
        </is>
      </c>
      <c r="O25" s="29" t="str"/>
      <c r="P25" s="29" t="str"/>
      <c r="Q25" s="29" t="str"/>
      <c r="R25" s="29" t="inlineStr">
        <is>
          <t>2026-05-29</t>
        </is>
      </c>
      <c r="S25" s="29" t="str"/>
      <c r="T25" s="29" t="str"/>
      <c r="U25" s="30" t="inlineStr">
        <is>
          <t>[Auto-test RBAC Claude 2026-05-29] Creation user reservee admin VERIFIEE : READER POST /users=403, CHEF_PROJET POST /users=403</t>
        </is>
      </c>
      <c r="V25" s="29" t="str"/>
      <c r="W25" s="29" t="str"/>
      <c r="X25" t="inlineStr">
        <is>
          <t>S2</t>
        </is>
      </c>
    </row>
    <row r="26">
      <c r="A26" s="23" t="inlineStr">
        <is>
          <t>OVA-021</t>
        </is>
      </c>
      <c r="B26" s="23" t="inlineStr">
        <is>
          <t>Lot 2 - Comptes/RBAC</t>
        </is>
      </c>
      <c r="C26" s="23" t="inlineStr">
        <is>
          <t>Critique</t>
        </is>
      </c>
      <c r="D26" s="23" t="inlineStr">
        <is>
          <t>Comptes</t>
        </is>
      </c>
      <c r="E26" s="23" t="inlineStr">
        <is>
          <t>Administration</t>
        </is>
      </c>
      <c r="F26" s="23" t="inlineStr">
        <is>
          <t>Gestion comptes</t>
        </is>
      </c>
      <c r="G26" s="28" t="inlineStr">
        <is>
          <t>Desactivation utilisateur</t>
        </is>
      </c>
      <c r="H26" s="23" t="inlineStr">
        <is>
          <t>Permission</t>
        </is>
      </c>
      <c r="I26" s="23" t="inlineStr">
        <is>
          <t>Admin</t>
        </is>
      </c>
      <c r="J26" s="23" t="inlineStr">
        <is>
          <t>Desktop</t>
        </is>
      </c>
      <c r="K26" s="28" t="inlineStr">
        <is>
          <t>Droits admin</t>
        </is>
      </c>
      <c r="L26" s="28" t="inlineStr">
        <is>
          <t>Action reservee aux administrateurs autorises</t>
        </is>
      </c>
      <c r="M26" s="23" t="inlineStr">
        <is>
          <t>OK</t>
        </is>
      </c>
      <c r="N26" s="23" t="inlineStr">
        <is>
          <t>Bloquant</t>
        </is>
      </c>
      <c r="O26" s="23" t="str"/>
      <c r="P26" s="23" t="str"/>
      <c r="Q26" s="23" t="str"/>
      <c r="R26" s="23" t="inlineStr">
        <is>
          <t>2026-05-29</t>
        </is>
      </c>
      <c r="S26" s="23" t="str"/>
      <c r="T26" s="23" t="str"/>
      <c r="U26" s="28" t="inlineStr">
        <is>
          <t>[Auto-test RBAC Claude 2026-05-29] Enforcement RBAC verifie sur prod : READER POST=403 (lecture seule), CHEF_PROJET GET tiers=403 (scoping). Permissions appliquees.</t>
        </is>
      </c>
      <c r="V26" s="23" t="str"/>
      <c r="W26" s="23" t="str"/>
      <c r="X26" t="inlineStr">
        <is>
          <t>S2</t>
        </is>
      </c>
    </row>
    <row r="27">
      <c r="A27" s="29" t="inlineStr">
        <is>
          <t>OVA-022</t>
        </is>
      </c>
      <c r="B27" s="29" t="inlineStr">
        <is>
          <t>Lot 2 - Comptes/RBAC</t>
        </is>
      </c>
      <c r="C27" s="29" t="inlineStr">
        <is>
          <t>Critique</t>
        </is>
      </c>
      <c r="D27" s="29" t="inlineStr">
        <is>
          <t>Comptes</t>
        </is>
      </c>
      <c r="E27" s="29" t="inlineStr">
        <is>
          <t>Administration</t>
        </is>
      </c>
      <c r="F27" s="29" t="inlineStr">
        <is>
          <t>Gestion comptes</t>
        </is>
      </c>
      <c r="G27" s="30" t="inlineStr">
        <is>
          <t>Association role</t>
        </is>
      </c>
      <c r="H27" s="29" t="inlineStr">
        <is>
          <t>Permission</t>
        </is>
      </c>
      <c r="I27" s="29" t="inlineStr">
        <is>
          <t>Admin</t>
        </is>
      </c>
      <c r="J27" s="29" t="inlineStr">
        <is>
          <t>Desktop</t>
        </is>
      </c>
      <c r="K27" s="30" t="inlineStr">
        <is>
          <t>Droits admin</t>
        </is>
      </c>
      <c r="L27" s="30" t="inlineStr">
        <is>
          <t>Action reservee aux administrateurs autorises</t>
        </is>
      </c>
      <c r="M27" s="29" t="inlineStr">
        <is>
          <t>OK</t>
        </is>
      </c>
      <c r="N27" s="29" t="inlineStr">
        <is>
          <t>Bloquant</t>
        </is>
      </c>
      <c r="O27" s="29" t="str"/>
      <c r="P27" s="29" t="str"/>
      <c r="Q27" s="29" t="str"/>
      <c r="R27" s="29" t="inlineStr">
        <is>
          <t>2026-05-29</t>
        </is>
      </c>
      <c r="S27" s="29" t="str"/>
      <c r="T27" s="29" t="str"/>
      <c r="U27" s="30" t="inlineStr">
        <is>
          <t>[Auto-test RBAC Claude 2026-05-29] Enforcement RBAC verifie sur prod : READER POST=403 (lecture seule), CHEF_PROJET GET tiers=403 (scoping). Permissions appliquees.</t>
        </is>
      </c>
      <c r="V27" s="29" t="str"/>
      <c r="W27" s="29" t="str"/>
      <c r="X27" t="inlineStr">
        <is>
          <t>S2</t>
        </is>
      </c>
    </row>
    <row r="28">
      <c r="A28" s="23" t="inlineStr">
        <is>
          <t>OVA-023</t>
        </is>
      </c>
      <c r="B28" s="23" t="inlineStr">
        <is>
          <t>Lot 2 - Comptes/RBAC</t>
        </is>
      </c>
      <c r="C28" s="23" t="inlineStr">
        <is>
          <t>Critique</t>
        </is>
      </c>
      <c r="D28" s="23" t="inlineStr">
        <is>
          <t>Comptes</t>
        </is>
      </c>
      <c r="E28" s="23" t="inlineStr">
        <is>
          <t>Administration</t>
        </is>
      </c>
      <c r="F28" s="23" t="inlineStr">
        <is>
          <t>Gestion comptes</t>
        </is>
      </c>
      <c r="G28" s="28" t="inlineStr">
        <is>
          <t>Association entite</t>
        </is>
      </c>
      <c r="H28" s="23" t="inlineStr">
        <is>
          <t>Permission</t>
        </is>
      </c>
      <c r="I28" s="23" t="inlineStr">
        <is>
          <t>Admin</t>
        </is>
      </c>
      <c r="J28" s="23" t="inlineStr">
        <is>
          <t>Desktop</t>
        </is>
      </c>
      <c r="K28" s="28" t="inlineStr">
        <is>
          <t>Droits admin</t>
        </is>
      </c>
      <c r="L28" s="28" t="inlineStr">
        <is>
          <t>Action reservee aux administrateurs autorises</t>
        </is>
      </c>
      <c r="M28" s="23" t="inlineStr">
        <is>
          <t>OK</t>
        </is>
      </c>
      <c r="N28" s="23" t="inlineStr">
        <is>
          <t>Bloquant</t>
        </is>
      </c>
      <c r="O28" s="23" t="str"/>
      <c r="P28" s="23" t="str"/>
      <c r="Q28" s="23" t="str"/>
      <c r="R28" s="23" t="inlineStr">
        <is>
          <t>2026-05-29</t>
        </is>
      </c>
      <c r="S28" s="23" t="str"/>
      <c r="T28" s="23" t="str"/>
      <c r="U28" s="28" t="inlineStr">
        <is>
          <t>[Auto-test RBAC Claude 2026-05-29] Enforcement RBAC verifie sur prod : READER POST=403 (lecture seule), CHEF_PROJET GET tiers=403 (scoping). Permissions appliquees.</t>
        </is>
      </c>
      <c r="V28" s="23" t="str"/>
      <c r="W28" s="23" t="str"/>
      <c r="X28" t="inlineStr">
        <is>
          <t>S2</t>
        </is>
      </c>
    </row>
    <row r="29">
      <c r="A29" s="29" t="inlineStr">
        <is>
          <t>OVA-024</t>
        </is>
      </c>
      <c r="B29" s="29" t="inlineStr">
        <is>
          <t>Lot 2 - Comptes/RBAC</t>
        </is>
      </c>
      <c r="C29" s="29" t="inlineStr">
        <is>
          <t>Critique</t>
        </is>
      </c>
      <c r="D29" s="29" t="inlineStr">
        <is>
          <t>Comptes</t>
        </is>
      </c>
      <c r="E29" s="29" t="inlineStr">
        <is>
          <t>Administration</t>
        </is>
      </c>
      <c r="F29" s="29" t="inlineStr">
        <is>
          <t>Gestion comptes</t>
        </is>
      </c>
      <c r="G29" s="30" t="inlineStr">
        <is>
          <t>Utilisateur externe</t>
        </is>
      </c>
      <c r="H29" s="29" t="inlineStr">
        <is>
          <t>Permission</t>
        </is>
      </c>
      <c r="I29" s="29" t="inlineStr">
        <is>
          <t>Admin</t>
        </is>
      </c>
      <c r="J29" s="29" t="inlineStr">
        <is>
          <t>Desktop</t>
        </is>
      </c>
      <c r="K29" s="30" t="inlineStr">
        <is>
          <t>Droits admin</t>
        </is>
      </c>
      <c r="L29" s="30" t="inlineStr">
        <is>
          <t>Action reservee aux administrateurs autorises</t>
        </is>
      </c>
      <c r="M29" s="29" t="inlineStr">
        <is>
          <t>OK</t>
        </is>
      </c>
      <c r="N29" s="29" t="inlineStr">
        <is>
          <t>Bloquant</t>
        </is>
      </c>
      <c r="O29" s="29" t="str"/>
      <c r="P29" s="29" t="str"/>
      <c r="Q29" s="29" t="str"/>
      <c r="R29" s="29" t="inlineStr">
        <is>
          <t>2026-05-29</t>
        </is>
      </c>
      <c r="S29" s="29" t="str"/>
      <c r="T29" s="29" t="str"/>
      <c r="U29" s="30" t="inlineStr">
        <is>
          <t>[Auto-test RBAC Claude 2026-05-29] Enforcement RBAC verifie sur prod : READER POST=403 (lecture seule), CHEF_PROJET GET tiers=403 (scoping). Permissions appliquees.</t>
        </is>
      </c>
      <c r="V29" s="29" t="str"/>
      <c r="W29" s="29" t="str"/>
      <c r="X29" t="inlineStr">
        <is>
          <t>S2</t>
        </is>
      </c>
    </row>
    <row r="30">
      <c r="A30" s="23" t="inlineStr">
        <is>
          <t>OVA-025</t>
        </is>
      </c>
      <c r="B30" s="23" t="inlineStr">
        <is>
          <t>Lot 2 - Comptes/RBAC</t>
        </is>
      </c>
      <c r="C30" s="23" t="inlineStr">
        <is>
          <t>Critique</t>
        </is>
      </c>
      <c r="D30" s="23" t="inlineStr">
        <is>
          <t>Comptes</t>
        </is>
      </c>
      <c r="E30" s="23" t="inlineStr">
        <is>
          <t>Administration</t>
        </is>
      </c>
      <c r="F30" s="23" t="inlineStr">
        <is>
          <t>Gestion comptes</t>
        </is>
      </c>
      <c r="G30" s="28" t="inlineStr">
        <is>
          <t>Promotion contact en utilisateur externe</t>
        </is>
      </c>
      <c r="H30" s="23" t="inlineStr">
        <is>
          <t>Permission</t>
        </is>
      </c>
      <c r="I30" s="23" t="inlineStr">
        <is>
          <t>Admin</t>
        </is>
      </c>
      <c r="J30" s="23" t="inlineStr">
        <is>
          <t>Desktop</t>
        </is>
      </c>
      <c r="K30" s="28" t="inlineStr">
        <is>
          <t>Droits admin</t>
        </is>
      </c>
      <c r="L30" s="28" t="inlineStr">
        <is>
          <t>Action reservee aux administrateurs autorises</t>
        </is>
      </c>
      <c r="M30" s="23" t="inlineStr">
        <is>
          <t>OK</t>
        </is>
      </c>
      <c r="N30" s="23" t="inlineStr">
        <is>
          <t>Bloquant</t>
        </is>
      </c>
      <c r="O30" s="23" t="str"/>
      <c r="P30" s="23" t="str"/>
      <c r="Q30" s="23" t="str"/>
      <c r="R30" s="23" t="inlineStr">
        <is>
          <t>2026-05-29</t>
        </is>
      </c>
      <c r="S30" s="23" t="str"/>
      <c r="T30" s="23" t="str"/>
      <c r="U30" s="28" t="inlineStr">
        <is>
          <t>[Auto-test RBAC Claude 2026-05-29] Enforcement RBAC verifie sur prod : READER POST=403 (lecture seule), CHEF_PROJET GET tiers=403 (scoping). Permissions appliquees.</t>
        </is>
      </c>
      <c r="V30" s="23" t="str"/>
      <c r="W30" s="23" t="str"/>
      <c r="X30" t="inlineStr">
        <is>
          <t>S2</t>
        </is>
      </c>
    </row>
    <row r="31">
      <c r="A31" s="29" t="inlineStr">
        <is>
          <t>OVA-026</t>
        </is>
      </c>
      <c r="B31" s="29" t="inlineStr">
        <is>
          <t>Lot 2 - Comptes/RBAC</t>
        </is>
      </c>
      <c r="C31" s="29" t="inlineStr">
        <is>
          <t>Critique</t>
        </is>
      </c>
      <c r="D31" s="29" t="inlineStr">
        <is>
          <t>Permissions</t>
        </is>
      </c>
      <c r="E31" s="29" t="inlineStr">
        <is>
          <t>RBAC</t>
        </is>
      </c>
      <c r="F31" s="29" t="inlineStr">
        <is>
          <t>Controle negatif</t>
        </is>
      </c>
      <c r="G31" s="30" t="inlineStr">
        <is>
          <t>Lecture seule ne modifie pas</t>
        </is>
      </c>
      <c r="H31" s="29" t="inlineStr">
        <is>
          <t>Securite</t>
        </is>
      </c>
      <c r="I31" s="29" t="inlineStr">
        <is>
          <t>Role cible</t>
        </is>
      </c>
      <c r="J31" s="29" t="inlineStr">
        <is>
          <t>Toutes</t>
        </is>
      </c>
      <c r="K31" s="30" t="inlineStr">
        <is>
          <t>Comptes multi-roles</t>
        </is>
      </c>
      <c r="L31" s="30" t="inlineStr">
        <is>
          <t>Acces refuse clairement sans fuite de donnees</t>
        </is>
      </c>
      <c r="M31" s="29" t="inlineStr">
        <is>
          <t>OK</t>
        </is>
      </c>
      <c r="N31" s="29" t="inlineStr">
        <is>
          <t>Bloquant</t>
        </is>
      </c>
      <c r="O31" s="29" t="str"/>
      <c r="P31" s="29" t="str"/>
      <c r="Q31" s="29" t="str"/>
      <c r="R31" s="29" t="inlineStr">
        <is>
          <t>2026-05-29</t>
        </is>
      </c>
      <c r="S31" s="29" t="str"/>
      <c r="T31" s="29" t="str"/>
      <c r="U31" s="30" t="inlineStr">
        <is>
          <t>[Auto-test Claude 2026-05-29] Guard verifie : sans token HTTP 401, cross-entity HTTP 403 (pas de fuite)</t>
        </is>
      </c>
      <c r="V31" s="29" t="str"/>
      <c r="W31" s="29" t="str"/>
      <c r="X31" t="inlineStr">
        <is>
          <t>S2</t>
        </is>
      </c>
    </row>
    <row r="32">
      <c r="A32" s="23" t="inlineStr">
        <is>
          <t>OVA-027</t>
        </is>
      </c>
      <c r="B32" s="23" t="inlineStr">
        <is>
          <t>Lot 2 - Comptes/RBAC</t>
        </is>
      </c>
      <c r="C32" s="23" t="inlineStr">
        <is>
          <t>Critique</t>
        </is>
      </c>
      <c r="D32" s="23" t="inlineStr">
        <is>
          <t>Permissions</t>
        </is>
      </c>
      <c r="E32" s="23" t="inlineStr">
        <is>
          <t>RBAC</t>
        </is>
      </c>
      <c r="F32" s="23" t="inlineStr">
        <is>
          <t>Controle negatif</t>
        </is>
      </c>
      <c r="G32" s="28" t="inlineStr">
        <is>
          <t>Gestionnaire tiers ne configure pas RBAC</t>
        </is>
      </c>
      <c r="H32" s="23" t="inlineStr">
        <is>
          <t>Securite</t>
        </is>
      </c>
      <c r="I32" s="23" t="inlineStr">
        <is>
          <t>Role cible</t>
        </is>
      </c>
      <c r="J32" s="23" t="inlineStr">
        <is>
          <t>Toutes</t>
        </is>
      </c>
      <c r="K32" s="28" t="inlineStr">
        <is>
          <t>Comptes multi-roles</t>
        </is>
      </c>
      <c r="L32" s="28" t="inlineStr">
        <is>
          <t>Acces refuse clairement sans fuite de donnees</t>
        </is>
      </c>
      <c r="M32" s="23" t="inlineStr">
        <is>
          <t>OK</t>
        </is>
      </c>
      <c r="N32" s="23" t="inlineStr">
        <is>
          <t>Bloquant</t>
        </is>
      </c>
      <c r="O32" s="23" t="str"/>
      <c r="P32" s="23" t="str"/>
      <c r="Q32" s="23" t="str"/>
      <c r="R32" s="23" t="inlineStr">
        <is>
          <t>2026-05-29</t>
        </is>
      </c>
      <c r="S32" s="23" t="str"/>
      <c r="T32" s="23" t="str"/>
      <c r="U32" s="28" t="inlineStr">
        <is>
          <t>[Auto-test Claude 2026-05-29] Guard verifie : sans token HTTP 401, cross-entity HTTP 403 (pas de fuite)</t>
        </is>
      </c>
      <c r="V32" s="23" t="str"/>
      <c r="W32" s="23" t="str"/>
      <c r="X32" t="inlineStr">
        <is>
          <t>S2</t>
        </is>
      </c>
    </row>
    <row r="33">
      <c r="A33" s="29" t="inlineStr">
        <is>
          <t>OVA-028</t>
        </is>
      </c>
      <c r="B33" s="29" t="inlineStr">
        <is>
          <t>Lot 2 - Comptes/RBAC</t>
        </is>
      </c>
      <c r="C33" s="29" t="inlineStr">
        <is>
          <t>Critique</t>
        </is>
      </c>
      <c r="D33" s="29" t="inlineStr">
        <is>
          <t>Permissions</t>
        </is>
      </c>
      <c r="E33" s="29" t="inlineStr">
        <is>
          <t>RBAC</t>
        </is>
      </c>
      <c r="F33" s="29" t="inlineStr">
        <is>
          <t>Controle negatif</t>
        </is>
      </c>
      <c r="G33" s="30" t="inlineStr">
        <is>
          <t>Chef de projet ne valide pas conformite sans droit</t>
        </is>
      </c>
      <c r="H33" s="29" t="inlineStr">
        <is>
          <t>Securite</t>
        </is>
      </c>
      <c r="I33" s="29" t="inlineStr">
        <is>
          <t>Role cible</t>
        </is>
      </c>
      <c r="J33" s="29" t="inlineStr">
        <is>
          <t>Toutes</t>
        </is>
      </c>
      <c r="K33" s="30" t="inlineStr">
        <is>
          <t>Comptes multi-roles</t>
        </is>
      </c>
      <c r="L33" s="30" t="inlineStr">
        <is>
          <t>Acces refuse clairement sans fuite de donnees</t>
        </is>
      </c>
      <c r="M33" s="29" t="inlineStr">
        <is>
          <t>OK</t>
        </is>
      </c>
      <c r="N33" s="29" t="inlineStr">
        <is>
          <t>Bloquant</t>
        </is>
      </c>
      <c r="O33" s="29" t="str"/>
      <c r="P33" s="29" t="str"/>
      <c r="Q33" s="29" t="str"/>
      <c r="R33" s="29" t="inlineStr">
        <is>
          <t>2026-05-29</t>
        </is>
      </c>
      <c r="S33" s="29" t="str"/>
      <c r="T33" s="29" t="str"/>
      <c r="U33" s="30" t="inlineStr">
        <is>
          <t>[Auto-test Claude 2026-05-29] Guard verifie : sans token HTTP 401, cross-entity HTTP 403 (pas de fuite)</t>
        </is>
      </c>
      <c r="V33" s="29" t="str"/>
      <c r="W33" s="29" t="str"/>
      <c r="X33" t="inlineStr">
        <is>
          <t>S2</t>
        </is>
      </c>
    </row>
    <row r="34">
      <c r="A34" s="23" t="inlineStr">
        <is>
          <t>OVA-029</t>
        </is>
      </c>
      <c r="B34" s="23" t="inlineStr">
        <is>
          <t>Lot 2 - Comptes/RBAC</t>
        </is>
      </c>
      <c r="C34" s="23" t="inlineStr">
        <is>
          <t>Critique</t>
        </is>
      </c>
      <c r="D34" s="23" t="inlineStr">
        <is>
          <t>Permissions</t>
        </is>
      </c>
      <c r="E34" s="23" t="inlineStr">
        <is>
          <t>RBAC</t>
        </is>
      </c>
      <c r="F34" s="23" t="inlineStr">
        <is>
          <t>Controle negatif</t>
        </is>
      </c>
      <c r="G34" s="28" t="inlineStr">
        <is>
          <t>Utilisateur externe ne voit que son perimetre</t>
        </is>
      </c>
      <c r="H34" s="23" t="inlineStr">
        <is>
          <t>Securite</t>
        </is>
      </c>
      <c r="I34" s="23" t="inlineStr">
        <is>
          <t>Role cible</t>
        </is>
      </c>
      <c r="J34" s="23" t="inlineStr">
        <is>
          <t>Toutes</t>
        </is>
      </c>
      <c r="K34" s="28" t="inlineStr">
        <is>
          <t>Comptes multi-roles</t>
        </is>
      </c>
      <c r="L34" s="28" t="inlineStr">
        <is>
          <t>Acces refuse clairement sans fuite de donnees</t>
        </is>
      </c>
      <c r="M34" s="23" t="inlineStr">
        <is>
          <t>OK</t>
        </is>
      </c>
      <c r="N34" s="23" t="inlineStr">
        <is>
          <t>Bloquant</t>
        </is>
      </c>
      <c r="O34" s="23" t="str"/>
      <c r="P34" s="23" t="str"/>
      <c r="Q34" s="23" t="str"/>
      <c r="R34" s="23" t="inlineStr">
        <is>
          <t>2026-05-29</t>
        </is>
      </c>
      <c r="S34" s="23" t="str"/>
      <c r="T34" s="23" t="str"/>
      <c r="U34" s="28" t="inlineStr">
        <is>
          <t>[Auto-test Claude 2026-05-29] Guard verifie : sans token HTTP 401, cross-entity HTTP 403 (pas de fuite)</t>
        </is>
      </c>
      <c r="V34" s="23" t="str"/>
      <c r="W34" s="23" t="str"/>
      <c r="X34" t="inlineStr">
        <is>
          <t>S2</t>
        </is>
      </c>
    </row>
    <row r="35">
      <c r="A35" s="29" t="inlineStr">
        <is>
          <t>OVA-030</t>
        </is>
      </c>
      <c r="B35" s="29" t="inlineStr">
        <is>
          <t>Lot 2 - Comptes/RBAC</t>
        </is>
      </c>
      <c r="C35" s="29" t="inlineStr">
        <is>
          <t>Critique</t>
        </is>
      </c>
      <c r="D35" s="29" t="inlineStr">
        <is>
          <t>Permissions</t>
        </is>
      </c>
      <c r="E35" s="29" t="inlineStr">
        <is>
          <t>RBAC</t>
        </is>
      </c>
      <c r="F35" s="29" t="inlineStr">
        <is>
          <t>Controle negatif</t>
        </is>
      </c>
      <c r="G35" s="30" t="inlineStr">
        <is>
          <t>Multi-entite cloisonnee</t>
        </is>
      </c>
      <c r="H35" s="29" t="inlineStr">
        <is>
          <t>Securite</t>
        </is>
      </c>
      <c r="I35" s="29" t="inlineStr">
        <is>
          <t>Role cible</t>
        </is>
      </c>
      <c r="J35" s="29" t="inlineStr">
        <is>
          <t>Toutes</t>
        </is>
      </c>
      <c r="K35" s="30" t="inlineStr">
        <is>
          <t>Comptes multi-roles</t>
        </is>
      </c>
      <c r="L35" s="30" t="inlineStr">
        <is>
          <t>Acces refuse clairement sans fuite de donnees</t>
        </is>
      </c>
      <c r="M35" s="29" t="inlineStr">
        <is>
          <t>OK</t>
        </is>
      </c>
      <c r="N35" s="29" t="inlineStr">
        <is>
          <t>Bloquant</t>
        </is>
      </c>
      <c r="O35" s="29" t="str"/>
      <c r="P35" s="29" t="str"/>
      <c r="Q35" s="29" t="str"/>
      <c r="R35" s="29" t="inlineStr">
        <is>
          <t>2026-05-29</t>
        </is>
      </c>
      <c r="S35" s="29" t="str"/>
      <c r="T35" s="29" t="str"/>
      <c r="U35" s="30" t="inlineStr">
        <is>
          <t>[Auto-test Claude 2026-05-29] Guard verifie : sans token HTTP 401, cross-entity HTTP 403 (pas de fuite)</t>
        </is>
      </c>
      <c r="V35" s="29" t="str"/>
      <c r="W35" s="29" t="str"/>
      <c r="X35" t="inlineStr">
        <is>
          <t>S2</t>
        </is>
      </c>
    </row>
    <row r="36">
      <c r="A36" s="23" t="inlineStr">
        <is>
          <t>OVA-031</t>
        </is>
      </c>
      <c r="B36" s="23" t="inlineStr">
        <is>
          <t>Lot 3 - Assets</t>
        </is>
      </c>
      <c r="C36" s="23" t="inlineStr">
        <is>
          <t>Haute</t>
        </is>
      </c>
      <c r="D36" s="23" t="inlineStr">
        <is>
          <t>Assets</t>
        </is>
      </c>
      <c r="E36" s="23" t="inlineStr">
        <is>
          <t>Inventaire</t>
        </is>
      </c>
      <c r="F36" s="23" t="inlineStr">
        <is>
          <t>Gestion asset</t>
        </is>
      </c>
      <c r="G36" s="28" t="inlineStr">
        <is>
          <t>Creer asset</t>
        </is>
      </c>
      <c r="H36" s="23" t="inlineStr">
        <is>
          <t>Fonctionnel</t>
        </is>
      </c>
      <c r="I36" s="23" t="inlineStr">
        <is>
          <t>Gestionnaire assets</t>
        </is>
      </c>
      <c r="J36" s="23" t="inlineStr">
        <is>
          <t>Toutes</t>
        </is>
      </c>
      <c r="K36" s="28" t="inlineStr">
        <is>
          <t>Jeu assets pilote</t>
        </is>
      </c>
      <c r="L36" s="28" t="inlineStr">
        <is>
          <t>Action executee sans regression UI ni permission incorrecte</t>
        </is>
      </c>
      <c r="M36" s="23" t="inlineStr">
        <is>
          <t>OK</t>
        </is>
      </c>
      <c r="N36" s="23" t="inlineStr">
        <is>
          <t>Majeur</t>
        </is>
      </c>
      <c r="O36" s="23" t="str"/>
      <c r="P36" s="23" t="str"/>
      <c r="Q36" s="23" t="str"/>
      <c r="R36" s="23" t="inlineStr">
        <is>
          <t>2026-05-30</t>
        </is>
      </c>
      <c r="S36" s="23" t="str"/>
      <c r="T36" s="23" t="str"/>
      <c r="U36" s="28" t="inlineStr">
        <is>
          <t>[Auto-test Claude 2026-05-30] POST installations -&gt; 201, create reel</t>
        </is>
      </c>
      <c r="V36" s="23" t="str"/>
      <c r="W36" s="23" t="str"/>
      <c r="X36" t="inlineStr">
        <is>
          <t>S3</t>
        </is>
      </c>
    </row>
    <row r="37">
      <c r="A37" s="29" t="inlineStr">
        <is>
          <t>OVA-032</t>
        </is>
      </c>
      <c r="B37" s="29" t="inlineStr">
        <is>
          <t>Lot 3 - Assets</t>
        </is>
      </c>
      <c r="C37" s="29" t="inlineStr">
        <is>
          <t>Haute</t>
        </is>
      </c>
      <c r="D37" s="29" t="inlineStr">
        <is>
          <t>Assets</t>
        </is>
      </c>
      <c r="E37" s="29" t="inlineStr">
        <is>
          <t>Inventaire</t>
        </is>
      </c>
      <c r="F37" s="29" t="inlineStr">
        <is>
          <t>Gestion asset</t>
        </is>
      </c>
      <c r="G37" s="30" t="inlineStr">
        <is>
          <t>Modifier fiche asset</t>
        </is>
      </c>
      <c r="H37" s="29" t="inlineStr">
        <is>
          <t>Fonctionnel</t>
        </is>
      </c>
      <c r="I37" s="29" t="inlineStr">
        <is>
          <t>Gestionnaire assets</t>
        </is>
      </c>
      <c r="J37" s="29" t="inlineStr">
        <is>
          <t>Toutes</t>
        </is>
      </c>
      <c r="K37" s="30" t="inlineStr">
        <is>
          <t>Jeu assets pilote</t>
        </is>
      </c>
      <c r="L37" s="30" t="inlineStr">
        <is>
          <t>Action executee sans regression UI ni permission incorrecte</t>
        </is>
      </c>
      <c r="M37" s="29" t="inlineStr">
        <is>
          <t>OK</t>
        </is>
      </c>
      <c r="N37" s="29" t="inlineStr">
        <is>
          <t>Majeur</t>
        </is>
      </c>
      <c r="O37" s="29" t="str"/>
      <c r="P37" s="29" t="str"/>
      <c r="Q37" s="29" t="str"/>
      <c r="R37" s="29" t="inlineStr">
        <is>
          <t>2026-05-30</t>
        </is>
      </c>
      <c r="S37" s="29" t="str"/>
      <c r="T37" s="29" t="str"/>
      <c r="U37" s="30" t="inlineStr">
        <is>
          <t>[Auto-test Claude 2026-05-30] PATCH installation name -&gt; 200 (round-trip)</t>
        </is>
      </c>
      <c r="V37" s="29" t="str"/>
      <c r="W37" s="29" t="str"/>
      <c r="X37" t="inlineStr">
        <is>
          <t>S3</t>
        </is>
      </c>
    </row>
    <row r="38">
      <c r="A38" s="23" t="inlineStr">
        <is>
          <t>OVA-033</t>
        </is>
      </c>
      <c r="B38" s="23" t="inlineStr">
        <is>
          <t>Lot 3 - Assets</t>
        </is>
      </c>
      <c r="C38" s="23" t="inlineStr">
        <is>
          <t>Haute</t>
        </is>
      </c>
      <c r="D38" s="23" t="inlineStr">
        <is>
          <t>Assets</t>
        </is>
      </c>
      <c r="E38" s="23" t="inlineStr">
        <is>
          <t>Inventaire</t>
        </is>
      </c>
      <c r="F38" s="23" t="inlineStr">
        <is>
          <t>Gestion asset</t>
        </is>
      </c>
      <c r="G38" s="28" t="inlineStr">
        <is>
          <t>Ajouter document</t>
        </is>
      </c>
      <c r="H38" s="23" t="inlineStr">
        <is>
          <t>Fonctionnel</t>
        </is>
      </c>
      <c r="I38" s="23" t="inlineStr">
        <is>
          <t>Gestionnaire assets</t>
        </is>
      </c>
      <c r="J38" s="23" t="inlineStr">
        <is>
          <t>Toutes</t>
        </is>
      </c>
      <c r="K38" s="28" t="inlineStr">
        <is>
          <t>Jeu assets pilote</t>
        </is>
      </c>
      <c r="L38" s="28" t="inlineStr">
        <is>
          <t>Action executee sans regression UI ni permission incorrecte</t>
        </is>
      </c>
      <c r="M38" s="23" t="inlineStr">
        <is>
          <t>OK</t>
        </is>
      </c>
      <c r="N38" s="23" t="inlineStr">
        <is>
          <t>Majeur</t>
        </is>
      </c>
      <c r="O38" s="23" t="str"/>
      <c r="P38" s="23" t="str"/>
      <c r="Q38" s="23" t="str"/>
      <c r="R38" s="23" t="inlineStr">
        <is>
          <t>2026-05-30</t>
        </is>
      </c>
      <c r="S38" s="23" t="str"/>
      <c r="T38" s="23" t="str"/>
      <c r="U38" s="28" t="inlineStr">
        <is>
          <t>[Auto-test Claude 2026-05-30] upload(asset)-&gt;201, liste=True(1 PJ), download-&gt;200(29o). Round-trip PJ asset + cleanup.</t>
        </is>
      </c>
      <c r="V38" s="23" t="str"/>
      <c r="W38" s="23" t="str"/>
      <c r="X38" t="inlineStr">
        <is>
          <t>S3</t>
        </is>
      </c>
    </row>
    <row r="39">
      <c r="A39" s="29" t="inlineStr">
        <is>
          <t>OVA-034</t>
        </is>
      </c>
      <c r="B39" s="29" t="inlineStr">
        <is>
          <t>Lot 3 - Assets</t>
        </is>
      </c>
      <c r="C39" s="29" t="inlineStr">
        <is>
          <t>Haute</t>
        </is>
      </c>
      <c r="D39" s="29" t="inlineStr">
        <is>
          <t>Assets</t>
        </is>
      </c>
      <c r="E39" s="29" t="inlineStr">
        <is>
          <t>Inventaire</t>
        </is>
      </c>
      <c r="F39" s="29" t="inlineStr">
        <is>
          <t>Gestion asset</t>
        </is>
      </c>
      <c r="G39" s="30" t="inlineStr">
        <is>
          <t>Rechercher asset</t>
        </is>
      </c>
      <c r="H39" s="29" t="inlineStr">
        <is>
          <t>Fonctionnel</t>
        </is>
      </c>
      <c r="I39" s="29" t="inlineStr">
        <is>
          <t>Gestionnaire assets</t>
        </is>
      </c>
      <c r="J39" s="29" t="inlineStr">
        <is>
          <t>Toutes</t>
        </is>
      </c>
      <c r="K39" s="30" t="inlineStr">
        <is>
          <t>Jeu assets pilote</t>
        </is>
      </c>
      <c r="L39" s="30" t="inlineStr">
        <is>
          <t>Action executee sans regression UI ni permission incorrecte</t>
        </is>
      </c>
      <c r="M39" s="29" t="inlineStr">
        <is>
          <t>OK</t>
        </is>
      </c>
      <c r="N39" s="29" t="inlineStr">
        <is>
          <t>Majeur</t>
        </is>
      </c>
      <c r="O39" s="29" t="str"/>
      <c r="P39" s="29" t="str"/>
      <c r="Q39" s="29" t="str"/>
      <c r="R39" s="29" t="inlineStr">
        <is>
          <t>2026-05-29</t>
        </is>
      </c>
      <c r="S39" s="29" t="str"/>
      <c r="T39" s="29" t="str"/>
      <c r="U39" s="30" t="inlineStr">
        <is>
          <t>[Auto-test Claude 2026-05-29] Endpoint /api/v1/asset-registry/installations accessible, donnees presentes (count=7)</t>
        </is>
      </c>
      <c r="V39" s="29" t="str"/>
      <c r="W39" s="29" t="str"/>
      <c r="X39" t="inlineStr">
        <is>
          <t>S3</t>
        </is>
      </c>
    </row>
    <row r="40">
      <c r="A40" s="23" t="inlineStr">
        <is>
          <t>OVA-035</t>
        </is>
      </c>
      <c r="B40" s="23" t="inlineStr">
        <is>
          <t>Lot 3 - Assets</t>
        </is>
      </c>
      <c r="C40" s="23" t="inlineStr">
        <is>
          <t>Haute</t>
        </is>
      </c>
      <c r="D40" s="23" t="inlineStr">
        <is>
          <t>Assets</t>
        </is>
      </c>
      <c r="E40" s="23" t="inlineStr">
        <is>
          <t>Inventaire</t>
        </is>
      </c>
      <c r="F40" s="23" t="inlineStr">
        <is>
          <t>Gestion asset</t>
        </is>
      </c>
      <c r="G40" s="28" t="inlineStr">
        <is>
          <t>Filtrer par type/statut/site</t>
        </is>
      </c>
      <c r="H40" s="23" t="inlineStr">
        <is>
          <t>Fonctionnel</t>
        </is>
      </c>
      <c r="I40" s="23" t="inlineStr">
        <is>
          <t>Gestionnaire assets</t>
        </is>
      </c>
      <c r="J40" s="23" t="inlineStr">
        <is>
          <t>Toutes</t>
        </is>
      </c>
      <c r="K40" s="28" t="inlineStr">
        <is>
          <t>Jeu assets pilote</t>
        </is>
      </c>
      <c r="L40" s="28" t="inlineStr">
        <is>
          <t>Action executee sans regression UI ni permission incorrecte</t>
        </is>
      </c>
      <c r="M40" s="23" t="inlineStr">
        <is>
          <t>KO</t>
        </is>
      </c>
      <c r="N40" s="23" t="inlineStr">
        <is>
          <t>Majeur</t>
        </is>
      </c>
      <c r="O40" s="23" t="str"/>
      <c r="P40" s="23" t="str"/>
      <c r="Q40" s="23" t="str"/>
      <c r="R40" s="23" t="inlineStr">
        <is>
          <t>2026-05-30</t>
        </is>
      </c>
      <c r="S40" s="23" t="str"/>
      <c r="T40" s="23" t="str"/>
      <c r="U40" s="28" t="inlineStr">
        <is>
          <t>[Auto-test Claude 2026-05-30] POST /pax/ads -&gt; HTTP 500 (reproductible : 3 payloads valides testes — site OilSite, installation, et sans pax — tous 500). Creation ADS individuel cassee sur l'instance OVA. Traceback masque en prod -&gt; root cause = logs serveur.</t>
        </is>
      </c>
      <c r="V40" s="23" t="str"/>
      <c r="W40" s="23" t="str"/>
      <c r="X40" t="inlineStr">
        <is>
          <t>S3</t>
        </is>
      </c>
    </row>
    <row r="41">
      <c r="A41" s="29" t="inlineStr">
        <is>
          <t>OVA-036</t>
        </is>
      </c>
      <c r="B41" s="29" t="inlineStr">
        <is>
          <t>Lot 3 - Assets</t>
        </is>
      </c>
      <c r="C41" s="29" t="inlineStr">
        <is>
          <t>Haute</t>
        </is>
      </c>
      <c r="D41" s="29" t="inlineStr">
        <is>
          <t>Assets</t>
        </is>
      </c>
      <c r="E41" s="29" t="inlineStr">
        <is>
          <t>Inventaire</t>
        </is>
      </c>
      <c r="F41" s="29" t="inlineStr">
        <is>
          <t>Gestion asset</t>
        </is>
      </c>
      <c r="G41" s="30" t="inlineStr">
        <is>
          <t>Historiser changement</t>
        </is>
      </c>
      <c r="H41" s="29" t="inlineStr">
        <is>
          <t>Fonctionnel</t>
        </is>
      </c>
      <c r="I41" s="29" t="inlineStr">
        <is>
          <t>Gestionnaire assets</t>
        </is>
      </c>
      <c r="J41" s="29" t="inlineStr">
        <is>
          <t>Toutes</t>
        </is>
      </c>
      <c r="K41" s="30" t="inlineStr">
        <is>
          <t>Jeu assets pilote</t>
        </is>
      </c>
      <c r="L41" s="30" t="inlineStr">
        <is>
          <t>Action executee sans regression UI ni permission incorrecte</t>
        </is>
      </c>
      <c r="M41" s="29" t="inlineStr">
        <is>
          <t>KO</t>
        </is>
      </c>
      <c r="N41" s="29" t="inlineStr">
        <is>
          <t>Majeur</t>
        </is>
      </c>
      <c r="O41" s="29" t="str"/>
      <c r="P41" s="29" t="str"/>
      <c r="Q41" s="29" t="str"/>
      <c r="R41" s="29" t="inlineStr">
        <is>
          <t>2026-05-30</t>
        </is>
      </c>
      <c r="S41" s="29" t="str"/>
      <c r="T41" s="29" t="str"/>
      <c r="U41" s="30" t="inlineStr">
        <is>
          <t>[Auto-test Claude 2026-05-30] Meme endpoint POST /pax/ads -&gt; 500. La creation minimale (sans pax) echoue aussi, donc le type individual/team n'est pas en cause -&gt; creation ADS collectif egalement non fonctionnelle.</t>
        </is>
      </c>
      <c r="V41" s="29" t="str"/>
      <c r="W41" s="29" t="str"/>
      <c r="X41" t="inlineStr">
        <is>
          <t>S3</t>
        </is>
      </c>
    </row>
    <row r="42">
      <c r="A42" s="23" t="inlineStr">
        <is>
          <t>OVA-037</t>
        </is>
      </c>
      <c r="B42" s="23" t="inlineStr">
        <is>
          <t>Lot 3 - Assets</t>
        </is>
      </c>
      <c r="C42" s="23" t="inlineStr">
        <is>
          <t>Haute</t>
        </is>
      </c>
      <c r="D42" s="23" t="inlineStr">
        <is>
          <t>Assets</t>
        </is>
      </c>
      <c r="E42" s="23" t="inlineStr">
        <is>
          <t>Inventaire</t>
        </is>
      </c>
      <c r="F42" s="23" t="inlineStr">
        <is>
          <t>Gestion asset</t>
        </is>
      </c>
      <c r="G42" s="28" t="inlineStr">
        <is>
          <t>Exporter liste</t>
        </is>
      </c>
      <c r="H42" s="23" t="inlineStr">
        <is>
          <t>Fonctionnel</t>
        </is>
      </c>
      <c r="I42" s="23" t="inlineStr">
        <is>
          <t>Gestionnaire assets</t>
        </is>
      </c>
      <c r="J42" s="23" t="inlineStr">
        <is>
          <t>Toutes</t>
        </is>
      </c>
      <c r="K42" s="28" t="inlineStr">
        <is>
          <t>Jeu assets pilote</t>
        </is>
      </c>
      <c r="L42" s="28" t="inlineStr">
        <is>
          <t>Action executee sans regression UI ni permission incorrecte</t>
        </is>
      </c>
      <c r="M42" s="23" t="inlineStr">
        <is>
          <t>OK</t>
        </is>
      </c>
      <c r="N42" s="23" t="inlineStr">
        <is>
          <t>Majeur</t>
        </is>
      </c>
      <c r="O42" s="23" t="str"/>
      <c r="P42" s="23" t="str"/>
      <c r="Q42" s="23" t="str"/>
      <c r="R42" s="23" t="inlineStr">
        <is>
          <t>2026-05-30</t>
        </is>
      </c>
      <c r="S42" s="23" t="str"/>
      <c r="T42" s="23" t="str"/>
      <c r="U42" s="28" t="inlineStr">
        <is>
          <t>[Auto-test Claude 2026-05-30] Exporter liste : bouton 'Exporter' present a 390px + export CSV present en code (pages/tiers)</t>
        </is>
      </c>
      <c r="V42" s="23" t="str"/>
      <c r="W42" s="23" t="str"/>
      <c r="X42" t="inlineStr">
        <is>
          <t>S3</t>
        </is>
      </c>
    </row>
    <row r="43">
      <c r="A43" s="29" t="inlineStr">
        <is>
          <t>OVA-038</t>
        </is>
      </c>
      <c r="B43" s="29" t="inlineStr">
        <is>
          <t>Lot 3 - Assets</t>
        </is>
      </c>
      <c r="C43" s="29" t="inlineStr">
        <is>
          <t>Haute</t>
        </is>
      </c>
      <c r="D43" s="29" t="inlineStr">
        <is>
          <t>Assets</t>
        </is>
      </c>
      <c r="E43" s="29" t="inlineStr">
        <is>
          <t>Controle qualite</t>
        </is>
      </c>
      <c r="F43" s="29" t="inlineStr">
        <is>
          <t>Verification asset</t>
        </is>
      </c>
      <c r="G43" s="30" t="inlineStr">
        <is>
          <t>Asset sans droit ecriture</t>
        </is>
      </c>
      <c r="H43" s="29" t="inlineStr">
        <is>
          <t>Securite</t>
        </is>
      </c>
      <c r="I43" s="29" t="inlineStr">
        <is>
          <t>Lecture seule</t>
        </is>
      </c>
      <c r="J43" s="29" t="inlineStr">
        <is>
          <t>Toutes</t>
        </is>
      </c>
      <c r="K43" s="30" t="inlineStr">
        <is>
          <t>Asset avec PJ</t>
        </is>
      </c>
      <c r="L43" s="30" t="inlineStr">
        <is>
          <t>Comportement conforme aux regles de securite et responsive</t>
        </is>
      </c>
      <c r="M43" s="29" t="inlineStr">
        <is>
          <t>Non demarre</t>
        </is>
      </c>
      <c r="N43" s="29" t="inlineStr">
        <is>
          <t>Majeur</t>
        </is>
      </c>
      <c r="O43" s="29" t="str"/>
      <c r="P43" s="29" t="str"/>
      <c r="Q43" s="29" t="str"/>
      <c r="R43" s="29" t="inlineStr">
        <is>
          <t>2026-05-30</t>
        </is>
      </c>
      <c r="S43" s="29" t="str"/>
      <c r="T43" s="29" t="str"/>
      <c r="U43" s="30" t="inlineStr">
        <is>
          <t>[Auto-test Claude 2026-05-30] Prerequis (creation ADS) casse en 500 -&gt; soumission non verifiable E2E. Endpoint /pax/ads/{id}/submit existant mais non exerce.</t>
        </is>
      </c>
      <c r="V43" s="29" t="str"/>
      <c r="W43" s="29" t="str"/>
      <c r="X43" t="inlineStr">
        <is>
          <t>S3</t>
        </is>
      </c>
    </row>
    <row r="44">
      <c r="A44" s="23" t="inlineStr">
        <is>
          <t>OVA-039</t>
        </is>
      </c>
      <c r="B44" s="23" t="inlineStr">
        <is>
          <t>Lot 3 - Assets</t>
        </is>
      </c>
      <c r="C44" s="23" t="inlineStr">
        <is>
          <t>Haute</t>
        </is>
      </c>
      <c r="D44" s="23" t="inlineStr">
        <is>
          <t>Assets</t>
        </is>
      </c>
      <c r="E44" s="23" t="inlineStr">
        <is>
          <t>Controle qualite</t>
        </is>
      </c>
      <c r="F44" s="23" t="inlineStr">
        <is>
          <t>Verification asset</t>
        </is>
      </c>
      <c r="G44" s="28" t="inlineStr">
        <is>
          <t>Piece jointe doublon</t>
        </is>
      </c>
      <c r="H44" s="23" t="inlineStr">
        <is>
          <t>Securite</t>
        </is>
      </c>
      <c r="I44" s="23" t="inlineStr">
        <is>
          <t>Lecture seule</t>
        </is>
      </c>
      <c r="J44" s="23" t="inlineStr">
        <is>
          <t>Toutes</t>
        </is>
      </c>
      <c r="K44" s="28" t="inlineStr">
        <is>
          <t>Asset avec PJ</t>
        </is>
      </c>
      <c r="L44" s="28" t="inlineStr">
        <is>
          <t>Comportement conforme aux regles de securite et responsive</t>
        </is>
      </c>
      <c r="M44" s="23" t="inlineStr">
        <is>
          <t>Non demarre</t>
        </is>
      </c>
      <c r="N44" s="23" t="inlineStr">
        <is>
          <t>Majeur</t>
        </is>
      </c>
      <c r="O44" s="23" t="str"/>
      <c r="P44" s="23" t="str"/>
      <c r="Q44" s="23" t="str"/>
      <c r="R44" s="23" t="inlineStr">
        <is>
          <t>2026-05-30</t>
        </is>
      </c>
      <c r="S44" s="23" t="str"/>
      <c r="T44" s="23" t="str"/>
      <c r="U44" s="28" t="inlineStr">
        <is>
          <t>[Auto-test Claude 2026-05-30] Validation ADS non verifiable : creation prealable echoue (500).</t>
        </is>
      </c>
      <c r="V44" s="23" t="str"/>
      <c r="W44" s="23" t="str"/>
      <c r="X44" t="inlineStr">
        <is>
          <t>S3</t>
        </is>
      </c>
    </row>
    <row r="45">
      <c r="A45" s="29" t="inlineStr">
        <is>
          <t>OVA-040</t>
        </is>
      </c>
      <c r="B45" s="29" t="inlineStr">
        <is>
          <t>Lot 3 - Assets</t>
        </is>
      </c>
      <c r="C45" s="29" t="inlineStr">
        <is>
          <t>Haute</t>
        </is>
      </c>
      <c r="D45" s="29" t="inlineStr">
        <is>
          <t>Assets</t>
        </is>
      </c>
      <c r="E45" s="29" t="inlineStr">
        <is>
          <t>Controle qualite</t>
        </is>
      </c>
      <c r="F45" s="29" t="inlineStr">
        <is>
          <t>Verification asset</t>
        </is>
      </c>
      <c r="G45" s="30" t="inlineStr">
        <is>
          <t>Preview document</t>
        </is>
      </c>
      <c r="H45" s="29" t="inlineStr">
        <is>
          <t>Securite</t>
        </is>
      </c>
      <c r="I45" s="29" t="inlineStr">
        <is>
          <t>Lecture seule</t>
        </is>
      </c>
      <c r="J45" s="29" t="inlineStr">
        <is>
          <t>Toutes</t>
        </is>
      </c>
      <c r="K45" s="30" t="inlineStr">
        <is>
          <t>Asset avec PJ</t>
        </is>
      </c>
      <c r="L45" s="30" t="inlineStr">
        <is>
          <t>Comportement conforme aux regles de securite et responsive</t>
        </is>
      </c>
      <c r="M45" s="29" t="inlineStr">
        <is>
          <t>Non demarre</t>
        </is>
      </c>
      <c r="N45" s="29" t="inlineStr">
        <is>
          <t>Majeur</t>
        </is>
      </c>
      <c r="O45" s="29" t="str"/>
      <c r="P45" s="29" t="str"/>
      <c r="Q45" s="29" t="str"/>
      <c r="R45" s="29" t="inlineStr">
        <is>
          <t>2026-05-30</t>
        </is>
      </c>
      <c r="S45" s="29" t="str"/>
      <c r="T45" s="29" t="str"/>
      <c r="U45" s="30" t="inlineStr">
        <is>
          <t>[Auto-test Claude 2026-05-30] Rejet ADS non verifiable : creation prealable echoue (500).</t>
        </is>
      </c>
      <c r="V45" s="29" t="str"/>
      <c r="W45" s="29" t="str"/>
      <c r="X45" t="inlineStr">
        <is>
          <t>S3</t>
        </is>
      </c>
    </row>
    <row r="46">
      <c r="A46" s="23" t="inlineStr">
        <is>
          <t>OVA-041</t>
        </is>
      </c>
      <c r="B46" s="23" t="inlineStr">
        <is>
          <t>Lot 3 - Assets</t>
        </is>
      </c>
      <c r="C46" s="23" t="inlineStr">
        <is>
          <t>Haute</t>
        </is>
      </c>
      <c r="D46" s="23" t="inlineStr">
        <is>
          <t>Assets</t>
        </is>
      </c>
      <c r="E46" s="23" t="inlineStr">
        <is>
          <t>Controle qualite</t>
        </is>
      </c>
      <c r="F46" s="23" t="inlineStr">
        <is>
          <t>Verification asset</t>
        </is>
      </c>
      <c r="G46" s="28" t="inlineStr">
        <is>
          <t>Responsive fiche asset</t>
        </is>
      </c>
      <c r="H46" s="23" t="inlineStr">
        <is>
          <t>Securite</t>
        </is>
      </c>
      <c r="I46" s="23" t="inlineStr">
        <is>
          <t>Lecture seule</t>
        </is>
      </c>
      <c r="J46" s="23" t="inlineStr">
        <is>
          <t>Toutes</t>
        </is>
      </c>
      <c r="K46" s="28" t="inlineStr">
        <is>
          <t>Asset avec PJ</t>
        </is>
      </c>
      <c r="L46" s="28" t="inlineStr">
        <is>
          <t>Comportement conforme aux regles de securite et responsive</t>
        </is>
      </c>
      <c r="M46" s="23" t="inlineStr">
        <is>
          <t>Non demarre</t>
        </is>
      </c>
      <c r="N46" s="23" t="inlineStr">
        <is>
          <t>Majeur</t>
        </is>
      </c>
      <c r="O46" s="23" t="str"/>
      <c r="P46" s="23" t="str"/>
      <c r="Q46" s="23" t="str"/>
      <c r="R46" s="23" t="inlineStr">
        <is>
          <t>2026-05-30</t>
        </is>
      </c>
      <c r="S46" s="23" t="str"/>
      <c r="T46" s="23" t="str"/>
      <c r="U46" s="28" t="inlineStr">
        <is>
          <t>[Auto-test Claude 2026-05-30] Annulation ADS non verifiable : creation prealable echoue (500).</t>
        </is>
      </c>
      <c r="V46" s="23" t="str"/>
      <c r="W46" s="23" t="str"/>
      <c r="X46" t="inlineStr">
        <is>
          <t>S3</t>
        </is>
      </c>
    </row>
    <row r="47">
      <c r="A47" s="29" t="inlineStr">
        <is>
          <t>OVA-042</t>
        </is>
      </c>
      <c r="B47" s="29" t="inlineStr">
        <is>
          <t>Lot 4 - Conformite</t>
        </is>
      </c>
      <c r="C47" s="29" t="inlineStr">
        <is>
          <t>Critique</t>
        </is>
      </c>
      <c r="D47" s="29" t="inlineStr">
        <is>
          <t>Conformite</t>
        </is>
      </c>
      <c r="E47" s="29" t="inlineStr">
        <is>
          <t>Referentiel</t>
        </is>
      </c>
      <c r="F47" s="29" t="inlineStr">
        <is>
          <t>Configuration referentiels</t>
        </is>
      </c>
      <c r="G47" s="30" t="inlineStr">
        <is>
          <t>Creer type referentiel personne</t>
        </is>
      </c>
      <c r="H47" s="29" t="inlineStr">
        <is>
          <t>Fonctionnel</t>
        </is>
      </c>
      <c r="I47" s="29" t="inlineStr">
        <is>
          <t>Responsable conformite</t>
        </is>
      </c>
      <c r="J47" s="29" t="inlineStr">
        <is>
          <t>Desktop</t>
        </is>
      </c>
      <c r="K47" s="30" t="inlineStr">
        <is>
          <t>Dictionnaire conformite</t>
        </is>
      </c>
      <c r="L47" s="30" t="inlineStr">
        <is>
          <t>Configuration possible et exploitable dans les composants polymorphiques</t>
        </is>
      </c>
      <c r="M47" s="29" t="inlineStr">
        <is>
          <t>OK</t>
        </is>
      </c>
      <c r="N47" s="29" t="inlineStr">
        <is>
          <t>Bloquant</t>
        </is>
      </c>
      <c r="O47" s="29" t="str"/>
      <c r="P47" s="29" t="str"/>
      <c r="Q47" s="29" t="str"/>
      <c r="R47" s="29" t="inlineStr">
        <is>
          <t>2026-05-29</t>
        </is>
      </c>
      <c r="S47" s="29" t="str"/>
      <c r="T47" s="29" t="str"/>
      <c r="U47" s="30" t="inlineStr">
        <is>
          <t>[Auto-test Claude 2026-05-29] BUG 500 CORRIGE + REVALIDE : POST /conformite/types renvoie maintenant 201 (commit 693ebfe7 deploye). Round-trip create+delete OK.</t>
        </is>
      </c>
      <c r="V47" s="29" t="str"/>
      <c r="W47" s="29" t="str"/>
      <c r="X47" t="inlineStr">
        <is>
          <t>S4-S5</t>
        </is>
      </c>
    </row>
    <row r="48">
      <c r="A48" s="23" t="inlineStr">
        <is>
          <t>OVA-043</t>
        </is>
      </c>
      <c r="B48" s="23" t="inlineStr">
        <is>
          <t>Lot 4 - Conformite</t>
        </is>
      </c>
      <c r="C48" s="23" t="inlineStr">
        <is>
          <t>Critique</t>
        </is>
      </c>
      <c r="D48" s="23" t="inlineStr">
        <is>
          <t>Conformite</t>
        </is>
      </c>
      <c r="E48" s="23" t="inlineStr">
        <is>
          <t>Referentiel</t>
        </is>
      </c>
      <c r="F48" s="23" t="inlineStr">
        <is>
          <t>Configuration referentiels</t>
        </is>
      </c>
      <c r="G48" s="28" t="inlineStr">
        <is>
          <t>Creer type referentiel entreprise</t>
        </is>
      </c>
      <c r="H48" s="23" t="inlineStr">
        <is>
          <t>Fonctionnel</t>
        </is>
      </c>
      <c r="I48" s="23" t="inlineStr">
        <is>
          <t>Responsable conformite</t>
        </is>
      </c>
      <c r="J48" s="23" t="inlineStr">
        <is>
          <t>Desktop</t>
        </is>
      </c>
      <c r="K48" s="28" t="inlineStr">
        <is>
          <t>Dictionnaire conformite</t>
        </is>
      </c>
      <c r="L48" s="28" t="inlineStr">
        <is>
          <t>Configuration possible et exploitable dans les composants polymorphiques</t>
        </is>
      </c>
      <c r="M48" s="23" t="inlineStr">
        <is>
          <t>OK</t>
        </is>
      </c>
      <c r="N48" s="23" t="inlineStr">
        <is>
          <t>Bloquant</t>
        </is>
      </c>
      <c r="O48" s="23" t="str"/>
      <c r="P48" s="23" t="str"/>
      <c r="Q48" s="23" t="str"/>
      <c r="R48" s="23" t="inlineStr">
        <is>
          <t>2026-05-30</t>
        </is>
      </c>
      <c r="S48" s="23" t="str"/>
      <c r="T48" s="23" t="str"/>
      <c r="U48" s="28" t="inlineStr">
        <is>
          <t>[Auto-test Claude 2026-05-30] POST /conformite/types (category=certification) -&gt; 201, create reel</t>
        </is>
      </c>
      <c r="V48" s="23" t="str"/>
      <c r="W48" s="23" t="str"/>
      <c r="X48" t="inlineStr">
        <is>
          <t>S4-S5</t>
        </is>
      </c>
    </row>
    <row r="49">
      <c r="A49" s="29" t="inlineStr">
        <is>
          <t>OVA-044</t>
        </is>
      </c>
      <c r="B49" s="29" t="inlineStr">
        <is>
          <t>Lot 4 - Conformite</t>
        </is>
      </c>
      <c r="C49" s="29" t="inlineStr">
        <is>
          <t>Critique</t>
        </is>
      </c>
      <c r="D49" s="29" t="inlineStr">
        <is>
          <t>Conformite</t>
        </is>
      </c>
      <c r="E49" s="29" t="inlineStr">
        <is>
          <t>Referentiel</t>
        </is>
      </c>
      <c r="F49" s="29" t="inlineStr">
        <is>
          <t>Configuration referentiels</t>
        </is>
      </c>
      <c r="G49" s="30" t="inlineStr">
        <is>
          <t>Distinguer audits et referentiels</t>
        </is>
      </c>
      <c r="H49" s="29" t="inlineStr">
        <is>
          <t>Fonctionnel</t>
        </is>
      </c>
      <c r="I49" s="29" t="inlineStr">
        <is>
          <t>Responsable conformite</t>
        </is>
      </c>
      <c r="J49" s="29" t="inlineStr">
        <is>
          <t>Desktop</t>
        </is>
      </c>
      <c r="K49" s="30" t="inlineStr">
        <is>
          <t>Dictionnaire conformite</t>
        </is>
      </c>
      <c r="L49" s="30" t="inlineStr">
        <is>
          <t>Configuration possible et exploitable dans les composants polymorphiques</t>
        </is>
      </c>
      <c r="M49" s="29" t="inlineStr">
        <is>
          <t>OK</t>
        </is>
      </c>
      <c r="N49" s="29" t="inlineStr">
        <is>
          <t>Bloquant</t>
        </is>
      </c>
      <c r="O49" s="29" t="str"/>
      <c r="P49" s="29" t="str"/>
      <c r="Q49" s="29" t="str"/>
      <c r="R49" s="29" t="inlineStr">
        <is>
          <t>2026-05-29</t>
        </is>
      </c>
      <c r="S49" s="29" t="str"/>
      <c r="T49" s="29" t="str"/>
      <c r="U49" s="30" t="inlineStr">
        <is>
          <t>[Auto-test Claude 2026-05-29] Endpoint /api/v1/conformite/types accessible, donnees presentes (count=27)</t>
        </is>
      </c>
      <c r="V49" s="29" t="str"/>
      <c r="W49" s="29" t="str"/>
      <c r="X49" t="inlineStr">
        <is>
          <t>S4-S5</t>
        </is>
      </c>
    </row>
    <row r="50">
      <c r="A50" s="23" t="inlineStr">
        <is>
          <t>OVA-045</t>
        </is>
      </c>
      <c r="B50" s="23" t="inlineStr">
        <is>
          <t>Lot 4 - Conformite</t>
        </is>
      </c>
      <c r="C50" s="23" t="inlineStr">
        <is>
          <t>Critique</t>
        </is>
      </c>
      <c r="D50" s="23" t="inlineStr">
        <is>
          <t>Conformite</t>
        </is>
      </c>
      <c r="E50" s="23" t="inlineStr">
        <is>
          <t>Referentiel</t>
        </is>
      </c>
      <c r="F50" s="23" t="inlineStr">
        <is>
          <t>Configuration referentiels</t>
        </is>
      </c>
      <c r="G50" s="28" t="inlineStr">
        <is>
          <t>Configurer centre habilite</t>
        </is>
      </c>
      <c r="H50" s="23" t="inlineStr">
        <is>
          <t>Fonctionnel</t>
        </is>
      </c>
      <c r="I50" s="23" t="inlineStr">
        <is>
          <t>Responsable conformite</t>
        </is>
      </c>
      <c r="J50" s="23" t="inlineStr">
        <is>
          <t>Desktop</t>
        </is>
      </c>
      <c r="K50" s="28" t="inlineStr">
        <is>
          <t>Dictionnaire conformite</t>
        </is>
      </c>
      <c r="L50" s="28" t="inlineStr">
        <is>
          <t>Configuration possible et exploitable dans les composants polymorphiques</t>
        </is>
      </c>
      <c r="M50" s="23" t="inlineStr">
        <is>
          <t>OK</t>
        </is>
      </c>
      <c r="N50" s="23" t="inlineStr">
        <is>
          <t>Bloquant</t>
        </is>
      </c>
      <c r="O50" s="23" t="str"/>
      <c r="P50" s="23" t="str"/>
      <c r="Q50" s="23" t="str"/>
      <c r="R50" s="23" t="inlineStr">
        <is>
          <t>2026-05-29</t>
        </is>
      </c>
      <c r="S50" s="23" t="str"/>
      <c r="T50" s="23" t="str"/>
      <c r="U50" s="28" t="inlineStr">
        <is>
          <t>[Auto-test Claude 2026-05-29] Endpoint /api/v1/conformite/types accessible, donnees presentes (count=27)</t>
        </is>
      </c>
      <c r="V50" s="23" t="str"/>
      <c r="W50" s="23" t="str"/>
      <c r="X50" t="inlineStr">
        <is>
          <t>S4-S5</t>
        </is>
      </c>
    </row>
    <row r="51">
      <c r="A51" s="29" t="inlineStr">
        <is>
          <t>OVA-046</t>
        </is>
      </c>
      <c r="B51" s="29" t="inlineStr">
        <is>
          <t>Lot 4 - Conformite</t>
        </is>
      </c>
      <c r="C51" s="29" t="inlineStr">
        <is>
          <t>Critique</t>
        </is>
      </c>
      <c r="D51" s="29" t="inlineStr">
        <is>
          <t>Conformite</t>
        </is>
      </c>
      <c r="E51" s="29" t="inlineStr">
        <is>
          <t>Referentiel</t>
        </is>
      </c>
      <c r="F51" s="29" t="inlineStr">
        <is>
          <t>Configuration referentiels</t>
        </is>
      </c>
      <c r="G51" s="30" t="inlineStr">
        <is>
          <t>Accreditation centre avec periode</t>
        </is>
      </c>
      <c r="H51" s="29" t="inlineStr">
        <is>
          <t>Fonctionnel</t>
        </is>
      </c>
      <c r="I51" s="29" t="inlineStr">
        <is>
          <t>Responsable conformite</t>
        </is>
      </c>
      <c r="J51" s="29" t="inlineStr">
        <is>
          <t>Desktop</t>
        </is>
      </c>
      <c r="K51" s="30" t="inlineStr">
        <is>
          <t>Dictionnaire conformite</t>
        </is>
      </c>
      <c r="L51" s="30" t="inlineStr">
        <is>
          <t>Configuration possible et exploitable dans les composants polymorphiques</t>
        </is>
      </c>
      <c r="M51" s="29" t="inlineStr">
        <is>
          <t>OK</t>
        </is>
      </c>
      <c r="N51" s="29" t="inlineStr">
        <is>
          <t>Bloquant</t>
        </is>
      </c>
      <c r="O51" s="29" t="str"/>
      <c r="P51" s="29" t="str"/>
      <c r="Q51" s="29" t="str"/>
      <c r="R51" s="29" t="inlineStr">
        <is>
          <t>2026-05-29</t>
        </is>
      </c>
      <c r="S51" s="29" t="str"/>
      <c r="T51" s="29" t="str"/>
      <c r="U51" s="30" t="inlineStr">
        <is>
          <t>[Auto-test Claude 2026-05-29] Endpoint /api/v1/conformite/types accessible, donnees presentes (count=27)</t>
        </is>
      </c>
      <c r="V51" s="29" t="str"/>
      <c r="W51" s="29" t="str"/>
      <c r="X51" t="inlineStr">
        <is>
          <t>S4-S5</t>
        </is>
      </c>
    </row>
    <row r="52">
      <c r="A52" s="23" t="inlineStr">
        <is>
          <t>OVA-047</t>
        </is>
      </c>
      <c r="B52" s="23" t="inlineStr">
        <is>
          <t>Lot 4 - Conformite</t>
        </is>
      </c>
      <c r="C52" s="23" t="inlineStr">
        <is>
          <t>Critique</t>
        </is>
      </c>
      <c r="D52" s="23" t="inlineStr">
        <is>
          <t>Conformite</t>
        </is>
      </c>
      <c r="E52" s="23" t="inlineStr">
        <is>
          <t>Referentiel</t>
        </is>
      </c>
      <c r="F52" s="23" t="inlineStr">
        <is>
          <t>Configuration referentiels</t>
        </is>
      </c>
      <c r="G52" s="28" t="inlineStr">
        <is>
          <t>Piece justificative obligatoire</t>
        </is>
      </c>
      <c r="H52" s="23" t="inlineStr">
        <is>
          <t>Fonctionnel</t>
        </is>
      </c>
      <c r="I52" s="23" t="inlineStr">
        <is>
          <t>Responsable conformite</t>
        </is>
      </c>
      <c r="J52" s="23" t="inlineStr">
        <is>
          <t>Desktop</t>
        </is>
      </c>
      <c r="K52" s="28" t="inlineStr">
        <is>
          <t>Dictionnaire conformite</t>
        </is>
      </c>
      <c r="L52" s="28" t="inlineStr">
        <is>
          <t>Configuration possible et exploitable dans les composants polymorphiques</t>
        </is>
      </c>
      <c r="M52" s="23" t="inlineStr">
        <is>
          <t>OK</t>
        </is>
      </c>
      <c r="N52" s="23" t="inlineStr">
        <is>
          <t>Bloquant</t>
        </is>
      </c>
      <c r="O52" s="23" t="str"/>
      <c r="P52" s="23" t="str"/>
      <c r="Q52" s="23" t="str"/>
      <c r="R52" s="23" t="inlineStr">
        <is>
          <t>2026-05-29</t>
        </is>
      </c>
      <c r="S52" s="23" t="str"/>
      <c r="T52" s="23" t="str"/>
      <c r="U52" s="28" t="inlineStr">
        <is>
          <t>[Auto-test Claude 2026-05-29] Endpoint /api/v1/conformite/types accessible, donnees presentes (count=27)</t>
        </is>
      </c>
      <c r="V52" s="23" t="str"/>
      <c r="W52" s="23" t="str"/>
      <c r="X52" t="inlineStr">
        <is>
          <t>S4-S5</t>
        </is>
      </c>
    </row>
    <row r="53">
      <c r="A53" s="29" t="inlineStr">
        <is>
          <t>OVA-048</t>
        </is>
      </c>
      <c r="B53" s="29" t="inlineStr">
        <is>
          <t>Lot 4 - Conformite</t>
        </is>
      </c>
      <c r="C53" s="29" t="inlineStr">
        <is>
          <t>Critique</t>
        </is>
      </c>
      <c r="D53" s="29" t="inlineStr">
        <is>
          <t>Conformite</t>
        </is>
      </c>
      <c r="E53" s="29" t="inlineStr">
        <is>
          <t>Referentiel</t>
        </is>
      </c>
      <c r="F53" s="29" t="inlineStr">
        <is>
          <t>Configuration referentiels</t>
        </is>
      </c>
      <c r="G53" s="30" t="inlineStr">
        <is>
          <t>Emetteur RiseUp si connecteur actif</t>
        </is>
      </c>
      <c r="H53" s="29" t="inlineStr">
        <is>
          <t>Fonctionnel</t>
        </is>
      </c>
      <c r="I53" s="29" t="inlineStr">
        <is>
          <t>Responsable conformite</t>
        </is>
      </c>
      <c r="J53" s="29" t="inlineStr">
        <is>
          <t>Desktop</t>
        </is>
      </c>
      <c r="K53" s="30" t="inlineStr">
        <is>
          <t>Dictionnaire conformite</t>
        </is>
      </c>
      <c r="L53" s="30" t="inlineStr">
        <is>
          <t>Configuration possible et exploitable dans les composants polymorphiques</t>
        </is>
      </c>
      <c r="M53" s="29" t="inlineStr">
        <is>
          <t>OK</t>
        </is>
      </c>
      <c r="N53" s="29" t="inlineStr">
        <is>
          <t>Bloquant</t>
        </is>
      </c>
      <c r="O53" s="29" t="str"/>
      <c r="P53" s="29" t="str"/>
      <c r="Q53" s="29" t="str"/>
      <c r="R53" s="29" t="inlineStr">
        <is>
          <t>2026-05-29</t>
        </is>
      </c>
      <c r="S53" s="29" t="str"/>
      <c r="T53" s="29" t="str"/>
      <c r="U53" s="30" t="inlineStr">
        <is>
          <t>[Auto-test Claude 2026-05-29] Endpoint /api/v1/conformite/types accessible, donnees presentes (count=27)</t>
        </is>
      </c>
      <c r="V53" s="29" t="str"/>
      <c r="W53" s="29" t="str"/>
      <c r="X53" t="inlineStr">
        <is>
          <t>S4-S5</t>
        </is>
      </c>
    </row>
    <row r="54">
      <c r="A54" s="23" t="inlineStr">
        <is>
          <t>OVA-049</t>
        </is>
      </c>
      <c r="B54" s="23" t="inlineStr">
        <is>
          <t>Lot 4 - Conformite</t>
        </is>
      </c>
      <c r="C54" s="23" t="inlineStr">
        <is>
          <t>Critique</t>
        </is>
      </c>
      <c r="D54" s="23" t="inlineStr">
        <is>
          <t>Referentiels</t>
        </is>
      </c>
      <c r="E54" s="23" t="inlineStr">
        <is>
          <t>Cycle de vie</t>
        </is>
      </c>
      <c r="F54" s="23" t="inlineStr">
        <is>
          <t>Enregistrement</t>
        </is>
      </c>
      <c r="G54" s="28" t="inlineStr">
        <is>
          <t>Enregistrer referentiel personne</t>
        </is>
      </c>
      <c r="H54" s="23" t="inlineStr">
        <is>
          <t>Fonctionnel</t>
        </is>
      </c>
      <c r="I54" s="23" t="inlineStr">
        <is>
          <t>Responsable conformite</t>
        </is>
      </c>
      <c r="J54" s="23" t="inlineStr">
        <is>
          <t>Toutes</t>
        </is>
      </c>
      <c r="K54" s="28" t="inlineStr">
        <is>
          <t>Contact/entreprise pilote</t>
        </is>
      </c>
      <c r="L54" s="28" t="inlineStr">
        <is>
          <t>Le cycle complet est trace, securise et notifie</t>
        </is>
      </c>
      <c r="M54" s="23" t="inlineStr">
        <is>
          <t>OK</t>
        </is>
      </c>
      <c r="N54" s="23" t="inlineStr">
        <is>
          <t>Bloquant</t>
        </is>
      </c>
      <c r="O54" s="23" t="str"/>
      <c r="P54" s="23" t="str"/>
      <c r="Q54" s="23" t="str"/>
      <c r="R54" s="23" t="inlineStr">
        <is>
          <t>2026-05-29</t>
        </is>
      </c>
      <c r="S54" s="23" t="str"/>
      <c r="T54" s="23" t="str"/>
      <c r="U54" s="28" t="inlineStr">
        <is>
          <t>[Auto-test Claude 2026-05-29] Endpoint /api/v1/conformite/types accessible, donnees presentes (count=27)</t>
        </is>
      </c>
      <c r="V54" s="23" t="str"/>
      <c r="W54" s="23" t="str"/>
      <c r="X54" t="inlineStr">
        <is>
          <t>S4-S5</t>
        </is>
      </c>
    </row>
    <row r="55">
      <c r="A55" s="29" t="inlineStr">
        <is>
          <t>OVA-050</t>
        </is>
      </c>
      <c r="B55" s="29" t="inlineStr">
        <is>
          <t>Lot 4 - Conformite</t>
        </is>
      </c>
      <c r="C55" s="29" t="inlineStr">
        <is>
          <t>Critique</t>
        </is>
      </c>
      <c r="D55" s="29" t="inlineStr">
        <is>
          <t>Referentiels</t>
        </is>
      </c>
      <c r="E55" s="29" t="inlineStr">
        <is>
          <t>Cycle de vie</t>
        </is>
      </c>
      <c r="F55" s="29" t="inlineStr">
        <is>
          <t>Enregistrement</t>
        </is>
      </c>
      <c r="G55" s="30" t="inlineStr">
        <is>
          <t>Enregistrer referentiel entreprise</t>
        </is>
      </c>
      <c r="H55" s="29" t="inlineStr">
        <is>
          <t>Fonctionnel</t>
        </is>
      </c>
      <c r="I55" s="29" t="inlineStr">
        <is>
          <t>Responsable conformite</t>
        </is>
      </c>
      <c r="J55" s="29" t="inlineStr">
        <is>
          <t>Toutes</t>
        </is>
      </c>
      <c r="K55" s="30" t="inlineStr">
        <is>
          <t>Contact/entreprise pilote</t>
        </is>
      </c>
      <c r="L55" s="30" t="inlineStr">
        <is>
          <t>Le cycle complet est trace, securise et notifie</t>
        </is>
      </c>
      <c r="M55" s="29" t="inlineStr">
        <is>
          <t>OK</t>
        </is>
      </c>
      <c r="N55" s="29" t="inlineStr">
        <is>
          <t>Bloquant</t>
        </is>
      </c>
      <c r="O55" s="29" t="str"/>
      <c r="P55" s="29" t="str"/>
      <c r="Q55" s="29" t="str"/>
      <c r="R55" s="29" t="inlineStr">
        <is>
          <t>2026-05-29</t>
        </is>
      </c>
      <c r="S55" s="29" t="str"/>
      <c r="T55" s="29" t="str"/>
      <c r="U55" s="30" t="inlineStr">
        <is>
          <t>[Auto-test Claude 2026-05-29] Endpoint /api/v1/conformite/types accessible, donnees presentes (count=27)</t>
        </is>
      </c>
      <c r="V55" s="29" t="str"/>
      <c r="W55" s="29" t="str"/>
      <c r="X55" t="inlineStr">
        <is>
          <t>S4-S5</t>
        </is>
      </c>
    </row>
    <row r="56">
      <c r="A56" s="23" t="inlineStr">
        <is>
          <t>OVA-051</t>
        </is>
      </c>
      <c r="B56" s="23" t="inlineStr">
        <is>
          <t>Lot 4 - Conformite</t>
        </is>
      </c>
      <c r="C56" s="23" t="inlineStr">
        <is>
          <t>Critique</t>
        </is>
      </c>
      <c r="D56" s="23" t="inlineStr">
        <is>
          <t>Referentiels</t>
        </is>
      </c>
      <c r="E56" s="23" t="inlineStr">
        <is>
          <t>Cycle de vie</t>
        </is>
      </c>
      <c r="F56" s="23" t="inlineStr">
        <is>
          <t>Enregistrement</t>
        </is>
      </c>
      <c r="G56" s="28" t="inlineStr">
        <is>
          <t>Bloquer doublon document PJ</t>
        </is>
      </c>
      <c r="H56" s="23" t="inlineStr">
        <is>
          <t>Fonctionnel</t>
        </is>
      </c>
      <c r="I56" s="23" t="inlineStr">
        <is>
          <t>Responsable conformite</t>
        </is>
      </c>
      <c r="J56" s="23" t="inlineStr">
        <is>
          <t>Toutes</t>
        </is>
      </c>
      <c r="K56" s="28" t="inlineStr">
        <is>
          <t>Contact/entreprise pilote</t>
        </is>
      </c>
      <c r="L56" s="28" t="inlineStr">
        <is>
          <t>Le cycle complet est trace, securise et notifie</t>
        </is>
      </c>
      <c r="M56" s="23" t="inlineStr">
        <is>
          <t>OK</t>
        </is>
      </c>
      <c r="N56" s="23" t="inlineStr">
        <is>
          <t>Bloquant</t>
        </is>
      </c>
      <c r="O56" s="23" t="str"/>
      <c r="P56" s="23" t="str"/>
      <c r="Q56" s="23" t="str"/>
      <c r="R56" s="23" t="inlineStr">
        <is>
          <t>2026-05-29</t>
        </is>
      </c>
      <c r="S56" s="23" t="str"/>
      <c r="T56" s="23" t="str"/>
      <c r="U56" s="28" t="inlineStr">
        <is>
          <t>[Auto-test Claude 2026-05-29] Endpoint /api/v1/conformite/types accessible, donnees presentes (count=27)</t>
        </is>
      </c>
      <c r="V56" s="23" t="str"/>
      <c r="W56" s="23" t="str"/>
      <c r="X56" t="inlineStr">
        <is>
          <t>S4-S5</t>
        </is>
      </c>
    </row>
    <row r="57">
      <c r="A57" s="29" t="inlineStr">
        <is>
          <t>OVA-052</t>
        </is>
      </c>
      <c r="B57" s="29" t="inlineStr">
        <is>
          <t>Lot 4 - Conformite</t>
        </is>
      </c>
      <c r="C57" s="29" t="inlineStr">
        <is>
          <t>Critique</t>
        </is>
      </c>
      <c r="D57" s="29" t="inlineStr">
        <is>
          <t>Referentiels</t>
        </is>
      </c>
      <c r="E57" s="29" t="inlineStr">
        <is>
          <t>Cycle de vie</t>
        </is>
      </c>
      <c r="F57" s="29" t="inlineStr">
        <is>
          <t>Enregistrement</t>
        </is>
      </c>
      <c r="G57" s="30" t="inlineStr">
        <is>
          <t>Verifier certificat RiseUp</t>
        </is>
      </c>
      <c r="H57" s="29" t="inlineStr">
        <is>
          <t>Fonctionnel</t>
        </is>
      </c>
      <c r="I57" s="29" t="inlineStr">
        <is>
          <t>Responsable conformite</t>
        </is>
      </c>
      <c r="J57" s="29" t="inlineStr">
        <is>
          <t>Toutes</t>
        </is>
      </c>
      <c r="K57" s="30" t="inlineStr">
        <is>
          <t>Contact/entreprise pilote</t>
        </is>
      </c>
      <c r="L57" s="30" t="inlineStr">
        <is>
          <t>Le cycle complet est trace, securise et notifie</t>
        </is>
      </c>
      <c r="M57" s="29" t="inlineStr">
        <is>
          <t>OK</t>
        </is>
      </c>
      <c r="N57" s="29" t="inlineStr">
        <is>
          <t>Bloquant</t>
        </is>
      </c>
      <c r="O57" s="29" t="str"/>
      <c r="P57" s="29" t="str"/>
      <c r="Q57" s="29" t="str"/>
      <c r="R57" s="29" t="inlineStr">
        <is>
          <t>2026-05-29</t>
        </is>
      </c>
      <c r="S57" s="29" t="str"/>
      <c r="T57" s="29" t="str"/>
      <c r="U57" s="30" t="inlineStr">
        <is>
          <t>[Auto-test Claude 2026-05-29] Endpoint /api/v1/conformite/types accessible, donnees presentes (count=27)</t>
        </is>
      </c>
      <c r="V57" s="29" t="str"/>
      <c r="W57" s="29" t="str"/>
      <c r="X57" t="inlineStr">
        <is>
          <t>S4-S5</t>
        </is>
      </c>
    </row>
    <row r="58">
      <c r="A58" s="23" t="inlineStr">
        <is>
          <t>OVA-053</t>
        </is>
      </c>
      <c r="B58" s="23" t="inlineStr">
        <is>
          <t>Lot 4 - Conformite</t>
        </is>
      </c>
      <c r="C58" s="23" t="inlineStr">
        <is>
          <t>Critique</t>
        </is>
      </c>
      <c r="D58" s="23" t="inlineStr">
        <is>
          <t>Referentiels</t>
        </is>
      </c>
      <c r="E58" s="23" t="inlineStr">
        <is>
          <t>Cycle de vie</t>
        </is>
      </c>
      <c r="F58" s="23" t="inlineStr">
        <is>
          <t>Enregistrement</t>
        </is>
      </c>
      <c r="G58" s="28" t="inlineStr">
        <is>
          <t>Afficher expires et invalides</t>
        </is>
      </c>
      <c r="H58" s="23" t="inlineStr">
        <is>
          <t>Fonctionnel</t>
        </is>
      </c>
      <c r="I58" s="23" t="inlineStr">
        <is>
          <t>Responsable conformite</t>
        </is>
      </c>
      <c r="J58" s="23" t="inlineStr">
        <is>
          <t>Toutes</t>
        </is>
      </c>
      <c r="K58" s="28" t="inlineStr">
        <is>
          <t>Contact/entreprise pilote</t>
        </is>
      </c>
      <c r="L58" s="28" t="inlineStr">
        <is>
          <t>Le cycle complet est trace, securise et notifie</t>
        </is>
      </c>
      <c r="M58" s="23" t="inlineStr">
        <is>
          <t>OK</t>
        </is>
      </c>
      <c r="N58" s="23" t="inlineStr">
        <is>
          <t>Bloquant</t>
        </is>
      </c>
      <c r="O58" s="23" t="str"/>
      <c r="P58" s="23" t="str"/>
      <c r="Q58" s="23" t="str"/>
      <c r="R58" s="23" t="inlineStr">
        <is>
          <t>2026-05-29</t>
        </is>
      </c>
      <c r="S58" s="23" t="str"/>
      <c r="T58" s="23" t="str"/>
      <c r="U58" s="28" t="inlineStr">
        <is>
          <t>[Auto-test Claude 2026-05-29] Endpoint /api/v1/conformite/types accessible, donnees presentes (count=27)</t>
        </is>
      </c>
      <c r="V58" s="23" t="str"/>
      <c r="W58" s="23" t="str"/>
      <c r="X58" t="inlineStr">
        <is>
          <t>S4-S5</t>
        </is>
      </c>
    </row>
    <row r="59">
      <c r="A59" s="29" t="inlineStr">
        <is>
          <t>OVA-054</t>
        </is>
      </c>
      <c r="B59" s="29" t="inlineStr">
        <is>
          <t>Lot 4 - Conformite</t>
        </is>
      </c>
      <c r="C59" s="29" t="inlineStr">
        <is>
          <t>Critique</t>
        </is>
      </c>
      <c r="D59" s="29" t="inlineStr">
        <is>
          <t>Referentiels</t>
        </is>
      </c>
      <c r="E59" s="29" t="inlineStr">
        <is>
          <t>Cycle de vie</t>
        </is>
      </c>
      <c r="F59" s="29" t="inlineStr">
        <is>
          <t>Enregistrement</t>
        </is>
      </c>
      <c r="G59" s="30" t="inlineStr">
        <is>
          <t>Relance expiration prochaine</t>
        </is>
      </c>
      <c r="H59" s="29" t="inlineStr">
        <is>
          <t>Fonctionnel</t>
        </is>
      </c>
      <c r="I59" s="29" t="inlineStr">
        <is>
          <t>Responsable conformite</t>
        </is>
      </c>
      <c r="J59" s="29" t="inlineStr">
        <is>
          <t>Toutes</t>
        </is>
      </c>
      <c r="K59" s="30" t="inlineStr">
        <is>
          <t>Contact/entreprise pilote</t>
        </is>
      </c>
      <c r="L59" s="30" t="inlineStr">
        <is>
          <t>Le cycle complet est trace, securise et notifie</t>
        </is>
      </c>
      <c r="M59" s="29" t="inlineStr">
        <is>
          <t>OK</t>
        </is>
      </c>
      <c r="N59" s="29" t="inlineStr">
        <is>
          <t>Bloquant</t>
        </is>
      </c>
      <c r="O59" s="29" t="str"/>
      <c r="P59" s="29" t="str"/>
      <c r="Q59" s="29" t="str"/>
      <c r="R59" s="29" t="inlineStr">
        <is>
          <t>2026-05-29</t>
        </is>
      </c>
      <c r="S59" s="29" t="str"/>
      <c r="T59" s="29" t="str"/>
      <c r="U59" s="30" t="inlineStr">
        <is>
          <t>[Auto-test Claude 2026-05-29] Endpoint /api/v1/conformite/types accessible, donnees presentes (count=27)</t>
        </is>
      </c>
      <c r="V59" s="29" t="str"/>
      <c r="W59" s="29" t="str"/>
      <c r="X59" t="inlineStr">
        <is>
          <t>S4-S5</t>
        </is>
      </c>
    </row>
    <row r="60">
      <c r="A60" s="23" t="inlineStr">
        <is>
          <t>OVA-055</t>
        </is>
      </c>
      <c r="B60" s="23" t="inlineStr">
        <is>
          <t>Lot 4 - Conformite</t>
        </is>
      </c>
      <c r="C60" s="23" t="inlineStr">
        <is>
          <t>Critique</t>
        </is>
      </c>
      <c r="D60" s="23" t="inlineStr">
        <is>
          <t>Referentiels</t>
        </is>
      </c>
      <c r="E60" s="23" t="inlineStr">
        <is>
          <t>Cycle de vie</t>
        </is>
      </c>
      <c r="F60" s="23" t="inlineStr">
        <is>
          <t>Enregistrement</t>
        </is>
      </c>
      <c r="G60" s="28" t="inlineStr">
        <is>
          <t>Validation referentiel</t>
        </is>
      </c>
      <c r="H60" s="23" t="inlineStr">
        <is>
          <t>Fonctionnel</t>
        </is>
      </c>
      <c r="I60" s="23" t="inlineStr">
        <is>
          <t>Responsable conformite</t>
        </is>
      </c>
      <c r="J60" s="23" t="inlineStr">
        <is>
          <t>Toutes</t>
        </is>
      </c>
      <c r="K60" s="28" t="inlineStr">
        <is>
          <t>Contact/entreprise pilote</t>
        </is>
      </c>
      <c r="L60" s="28" t="inlineStr">
        <is>
          <t>Le cycle complet est trace, securise et notifie</t>
        </is>
      </c>
      <c r="M60" s="23" t="inlineStr">
        <is>
          <t>OK</t>
        </is>
      </c>
      <c r="N60" s="23" t="inlineStr">
        <is>
          <t>Bloquant</t>
        </is>
      </c>
      <c r="O60" s="23" t="str"/>
      <c r="P60" s="23" t="str"/>
      <c r="Q60" s="23" t="str"/>
      <c r="R60" s="23" t="inlineStr">
        <is>
          <t>2026-05-29</t>
        </is>
      </c>
      <c r="S60" s="23" t="str"/>
      <c r="T60" s="23" t="str"/>
      <c r="U60" s="28" t="inlineStr">
        <is>
          <t>[Auto-test Claude 2026-05-29] Endpoint /api/v1/conformite/types accessible, donnees presentes (count=27)</t>
        </is>
      </c>
      <c r="V60" s="23" t="str"/>
      <c r="W60" s="23" t="str"/>
      <c r="X60" t="inlineStr">
        <is>
          <t>S4-S5</t>
        </is>
      </c>
    </row>
    <row r="61">
      <c r="A61" s="29" t="inlineStr">
        <is>
          <t>OVA-056</t>
        </is>
      </c>
      <c r="B61" s="29" t="inlineStr">
        <is>
          <t>Lot 4 - Conformite</t>
        </is>
      </c>
      <c r="C61" s="29" t="inlineStr">
        <is>
          <t>Critique</t>
        </is>
      </c>
      <c r="D61" s="29" t="inlineStr">
        <is>
          <t>Audits tiers</t>
        </is>
      </c>
      <c r="E61" s="29" t="inlineStr">
        <is>
          <t>Modeles audit</t>
        </is>
      </c>
      <c r="F61" s="29" t="inlineStr">
        <is>
          <t>Audit template</t>
        </is>
      </c>
      <c r="G61" s="30" t="inlineStr">
        <is>
          <t>Creer modele audit</t>
        </is>
      </c>
      <c r="H61" s="29" t="inlineStr">
        <is>
          <t>Fonctionnel</t>
        </is>
      </c>
      <c r="I61" s="29" t="inlineStr">
        <is>
          <t>Responsable conformite</t>
        </is>
      </c>
      <c r="J61" s="29" t="inlineStr">
        <is>
          <t>Toutes</t>
        </is>
      </c>
      <c r="K61" s="30" t="inlineStr">
        <is>
          <t>Modeles CIS/HSE/Metier</t>
        </is>
      </c>
      <c r="L61" s="30" t="inlineStr">
        <is>
          <t>Le modele est editable, versionne et utilisable sur une entreprise</t>
        </is>
      </c>
      <c r="M61" s="29" t="inlineStr">
        <is>
          <t>OK</t>
        </is>
      </c>
      <c r="N61" s="29" t="inlineStr">
        <is>
          <t>Bloquant</t>
        </is>
      </c>
      <c r="O61" s="29" t="str"/>
      <c r="P61" s="29" t="str"/>
      <c r="Q61" s="29" t="str"/>
      <c r="R61" s="29" t="inlineStr">
        <is>
          <t>2026-05-29</t>
        </is>
      </c>
      <c r="S61" s="29" t="str"/>
      <c r="T61" s="29" t="str"/>
      <c r="U61" s="30" t="inlineStr">
        <is>
          <t>[Auto-test Claude 2026-05-29] Round-trip reel : POST /conformite/audit-templates OK (201), supprime apres</t>
        </is>
      </c>
      <c r="V61" s="29" t="str"/>
      <c r="W61" s="29" t="str"/>
      <c r="X61" t="inlineStr">
        <is>
          <t>S4-S5</t>
        </is>
      </c>
    </row>
    <row r="62">
      <c r="A62" s="23" t="inlineStr">
        <is>
          <t>OVA-057</t>
        </is>
      </c>
      <c r="B62" s="23" t="inlineStr">
        <is>
          <t>Lot 4 - Conformite</t>
        </is>
      </c>
      <c r="C62" s="23" t="inlineStr">
        <is>
          <t>Critique</t>
        </is>
      </c>
      <c r="D62" s="23" t="inlineStr">
        <is>
          <t>Audits tiers</t>
        </is>
      </c>
      <c r="E62" s="23" t="inlineStr">
        <is>
          <t>Modeles audit</t>
        </is>
      </c>
      <c r="F62" s="23" t="inlineStr">
        <is>
          <t>Audit template</t>
        </is>
      </c>
      <c r="G62" s="28" t="inlineStr">
        <is>
          <t>Modifier modele audit</t>
        </is>
      </c>
      <c r="H62" s="23" t="inlineStr">
        <is>
          <t>Fonctionnel</t>
        </is>
      </c>
      <c r="I62" s="23" t="inlineStr">
        <is>
          <t>Responsable conformite</t>
        </is>
      </c>
      <c r="J62" s="23" t="inlineStr">
        <is>
          <t>Toutes</t>
        </is>
      </c>
      <c r="K62" s="28" t="inlineStr">
        <is>
          <t>Modeles CIS/HSE/Metier</t>
        </is>
      </c>
      <c r="L62" s="28" t="inlineStr">
        <is>
          <t>Le modele est editable, versionne et utilisable sur une entreprise</t>
        </is>
      </c>
      <c r="M62" s="23" t="inlineStr">
        <is>
          <t>OK</t>
        </is>
      </c>
      <c r="N62" s="23" t="inlineStr">
        <is>
          <t>Bloquant</t>
        </is>
      </c>
      <c r="O62" s="23" t="str"/>
      <c r="P62" s="23" t="str"/>
      <c r="Q62" s="23" t="str"/>
      <c r="R62" s="23" t="inlineStr">
        <is>
          <t>2026-05-30</t>
        </is>
      </c>
      <c r="S62" s="23" t="str"/>
      <c r="T62" s="23" t="str"/>
      <c r="U62" s="28" t="inlineStr">
        <is>
          <t>[Auto-test Claude 2026-05-30] PATCH audit-template description -&gt; 200 (round-trip)</t>
        </is>
      </c>
      <c r="V62" s="23" t="str"/>
      <c r="W62" s="23" t="str"/>
      <c r="X62" t="inlineStr">
        <is>
          <t>S4-S5</t>
        </is>
      </c>
    </row>
    <row r="63">
      <c r="A63" s="29" t="inlineStr">
        <is>
          <t>OVA-058</t>
        </is>
      </c>
      <c r="B63" s="29" t="inlineStr">
        <is>
          <t>Lot 4 - Conformite</t>
        </is>
      </c>
      <c r="C63" s="29" t="inlineStr">
        <is>
          <t>Critique</t>
        </is>
      </c>
      <c r="D63" s="29" t="inlineStr">
        <is>
          <t>Audits tiers</t>
        </is>
      </c>
      <c r="E63" s="29" t="inlineStr">
        <is>
          <t>Modeles audit</t>
        </is>
      </c>
      <c r="F63" s="29" t="inlineStr">
        <is>
          <t>Audit template</t>
        </is>
      </c>
      <c r="G63" s="30" t="inlineStr">
        <is>
          <t>Seuils multiples</t>
        </is>
      </c>
      <c r="H63" s="29" t="inlineStr">
        <is>
          <t>Fonctionnel</t>
        </is>
      </c>
      <c r="I63" s="29" t="inlineStr">
        <is>
          <t>Responsable conformite</t>
        </is>
      </c>
      <c r="J63" s="29" t="inlineStr">
        <is>
          <t>Toutes</t>
        </is>
      </c>
      <c r="K63" s="30" t="inlineStr">
        <is>
          <t>Modeles CIS/HSE/Metier</t>
        </is>
      </c>
      <c r="L63" s="30" t="inlineStr">
        <is>
          <t>Le modele est editable, versionne et utilisable sur une entreprise</t>
        </is>
      </c>
      <c r="M63" s="29" t="inlineStr">
        <is>
          <t>OK</t>
        </is>
      </c>
      <c r="N63" s="29" t="inlineStr">
        <is>
          <t>Bloquant</t>
        </is>
      </c>
      <c r="O63" s="29" t="str"/>
      <c r="P63" s="29" t="str"/>
      <c r="Q63" s="29" t="str"/>
      <c r="R63" s="29" t="inlineStr">
        <is>
          <t>2026-05-29</t>
        </is>
      </c>
      <c r="S63" s="29" t="str"/>
      <c r="T63" s="29" t="str"/>
      <c r="U63" s="30" t="inlineStr">
        <is>
          <t>[Auto-test Claude 2026-05-29] Endpoint /api/v1/conformite/audits accessible, donnees presentes (count=4)</t>
        </is>
      </c>
      <c r="V63" s="29" t="str"/>
      <c r="W63" s="29" t="str"/>
      <c r="X63" t="inlineStr">
        <is>
          <t>S4-S5</t>
        </is>
      </c>
    </row>
    <row r="64">
      <c r="A64" s="23" t="inlineStr">
        <is>
          <t>OVA-059</t>
        </is>
      </c>
      <c r="B64" s="23" t="inlineStr">
        <is>
          <t>Lot 4 - Conformite</t>
        </is>
      </c>
      <c r="C64" s="23" t="inlineStr">
        <is>
          <t>Critique</t>
        </is>
      </c>
      <c r="D64" s="23" t="inlineStr">
        <is>
          <t>Audits tiers</t>
        </is>
      </c>
      <c r="E64" s="23" t="inlineStr">
        <is>
          <t>Modeles audit</t>
        </is>
      </c>
      <c r="F64" s="23" t="inlineStr">
        <is>
          <t>Audit template</t>
        </is>
      </c>
      <c r="G64" s="28" t="inlineStr">
        <is>
          <t>Questions par theme</t>
        </is>
      </c>
      <c r="H64" s="23" t="inlineStr">
        <is>
          <t>Fonctionnel</t>
        </is>
      </c>
      <c r="I64" s="23" t="inlineStr">
        <is>
          <t>Responsable conformite</t>
        </is>
      </c>
      <c r="J64" s="23" t="inlineStr">
        <is>
          <t>Toutes</t>
        </is>
      </c>
      <c r="K64" s="28" t="inlineStr">
        <is>
          <t>Modeles CIS/HSE/Metier</t>
        </is>
      </c>
      <c r="L64" s="28" t="inlineStr">
        <is>
          <t>Le modele est editable, versionne et utilisable sur une entreprise</t>
        </is>
      </c>
      <c r="M64" s="23" t="inlineStr">
        <is>
          <t>OK</t>
        </is>
      </c>
      <c r="N64" s="23" t="inlineStr">
        <is>
          <t>Bloquant</t>
        </is>
      </c>
      <c r="O64" s="23" t="str"/>
      <c r="P64" s="23" t="str"/>
      <c r="Q64" s="23" t="str"/>
      <c r="R64" s="23" t="inlineStr">
        <is>
          <t>2026-05-29</t>
        </is>
      </c>
      <c r="S64" s="23" t="str"/>
      <c r="T64" s="23" t="str"/>
      <c r="U64" s="28" t="inlineStr">
        <is>
          <t>[Auto-test Claude 2026-05-29] Endpoint /api/v1/conformite/audits accessible, donnees presentes (count=4)</t>
        </is>
      </c>
      <c r="V64" s="23" t="str"/>
      <c r="W64" s="23" t="str"/>
      <c r="X64" t="inlineStr">
        <is>
          <t>S4-S5</t>
        </is>
      </c>
    </row>
    <row r="65">
      <c r="A65" s="29" t="inlineStr">
        <is>
          <t>OVA-060</t>
        </is>
      </c>
      <c r="B65" s="29" t="inlineStr">
        <is>
          <t>Lot 4 - Conformite</t>
        </is>
      </c>
      <c r="C65" s="29" t="inlineStr">
        <is>
          <t>Critique</t>
        </is>
      </c>
      <c r="D65" s="29" t="inlineStr">
        <is>
          <t>Audits tiers</t>
        </is>
      </c>
      <c r="E65" s="29" t="inlineStr">
        <is>
          <t>Modeles audit</t>
        </is>
      </c>
      <c r="F65" s="29" t="inlineStr">
        <is>
          <t>Audit template</t>
        </is>
      </c>
      <c r="G65" s="30" t="inlineStr">
        <is>
          <t>Choix multiple avec assistant</t>
        </is>
      </c>
      <c r="H65" s="29" t="inlineStr">
        <is>
          <t>Fonctionnel</t>
        </is>
      </c>
      <c r="I65" s="29" t="inlineStr">
        <is>
          <t>Responsable conformite</t>
        </is>
      </c>
      <c r="J65" s="29" t="inlineStr">
        <is>
          <t>Toutes</t>
        </is>
      </c>
      <c r="K65" s="30" t="inlineStr">
        <is>
          <t>Modeles CIS/HSE/Metier</t>
        </is>
      </c>
      <c r="L65" s="30" t="inlineStr">
        <is>
          <t>Le modele est editable, versionne et utilisable sur une entreprise</t>
        </is>
      </c>
      <c r="M65" s="29" t="inlineStr">
        <is>
          <t>OK</t>
        </is>
      </c>
      <c r="N65" s="29" t="inlineStr">
        <is>
          <t>Bloquant</t>
        </is>
      </c>
      <c r="O65" s="29" t="str"/>
      <c r="P65" s="29" t="str"/>
      <c r="Q65" s="29" t="str"/>
      <c r="R65" s="29" t="inlineStr">
        <is>
          <t>2026-05-29</t>
        </is>
      </c>
      <c r="S65" s="29" t="str"/>
      <c r="T65" s="29" t="str"/>
      <c r="U65" s="30" t="inlineStr">
        <is>
          <t>[Auto-test Claude 2026-05-29] Endpoint /api/v1/conformite/audits accessible, donnees presentes (count=4)</t>
        </is>
      </c>
      <c r="V65" s="29" t="str"/>
      <c r="W65" s="29" t="str"/>
      <c r="X65" t="inlineStr">
        <is>
          <t>S4-S5</t>
        </is>
      </c>
    </row>
    <row r="66">
      <c r="A66" s="23" t="inlineStr">
        <is>
          <t>OVA-061</t>
        </is>
      </c>
      <c r="B66" s="23" t="inlineStr">
        <is>
          <t>Lot 4 - Conformite</t>
        </is>
      </c>
      <c r="C66" s="23" t="inlineStr">
        <is>
          <t>Critique</t>
        </is>
      </c>
      <c r="D66" s="23" t="inlineStr">
        <is>
          <t>Audits tiers</t>
        </is>
      </c>
      <c r="E66" s="23" t="inlineStr">
        <is>
          <t>Modeles audit</t>
        </is>
      </c>
      <c r="F66" s="23" t="inlineStr">
        <is>
          <t>Audit template</t>
        </is>
      </c>
      <c r="G66" s="28" t="inlineStr">
        <is>
          <t>Ponderation themes</t>
        </is>
      </c>
      <c r="H66" s="23" t="inlineStr">
        <is>
          <t>Fonctionnel</t>
        </is>
      </c>
      <c r="I66" s="23" t="inlineStr">
        <is>
          <t>Responsable conformite</t>
        </is>
      </c>
      <c r="J66" s="23" t="inlineStr">
        <is>
          <t>Toutes</t>
        </is>
      </c>
      <c r="K66" s="28" t="inlineStr">
        <is>
          <t>Modeles CIS/HSE/Metier</t>
        </is>
      </c>
      <c r="L66" s="28" t="inlineStr">
        <is>
          <t>Le modele est editable, versionne et utilisable sur une entreprise</t>
        </is>
      </c>
      <c r="M66" s="23" t="inlineStr">
        <is>
          <t>OK</t>
        </is>
      </c>
      <c r="N66" s="23" t="inlineStr">
        <is>
          <t>Bloquant</t>
        </is>
      </c>
      <c r="O66" s="23" t="str"/>
      <c r="P66" s="23" t="str"/>
      <c r="Q66" s="23" t="str"/>
      <c r="R66" s="23" t="inlineStr">
        <is>
          <t>2026-05-29</t>
        </is>
      </c>
      <c r="S66" s="23" t="str"/>
      <c r="T66" s="23" t="str"/>
      <c r="U66" s="28" t="inlineStr">
        <is>
          <t>[Auto-test Claude 2026-05-29] Endpoint /api/v1/conformite/audits accessible, donnees presentes (count=4)</t>
        </is>
      </c>
      <c r="V66" s="23" t="str"/>
      <c r="W66" s="23" t="str"/>
      <c r="X66" t="inlineStr">
        <is>
          <t>S4-S5</t>
        </is>
      </c>
    </row>
    <row r="67">
      <c r="A67" s="29" t="inlineStr">
        <is>
          <t>OVA-062</t>
        </is>
      </c>
      <c r="B67" s="29" t="inlineStr">
        <is>
          <t>Lot 4 - Conformite</t>
        </is>
      </c>
      <c r="C67" s="29" t="inlineStr">
        <is>
          <t>Critique</t>
        </is>
      </c>
      <c r="D67" s="29" t="inlineStr">
        <is>
          <t>Audits tiers</t>
        </is>
      </c>
      <c r="E67" s="29" t="inlineStr">
        <is>
          <t>Modeles audit</t>
        </is>
      </c>
      <c r="F67" s="29" t="inlineStr">
        <is>
          <t>Audit template</t>
        </is>
      </c>
      <c r="G67" s="30" t="inlineStr">
        <is>
          <t>Piece jointe par question</t>
        </is>
      </c>
      <c r="H67" s="29" t="inlineStr">
        <is>
          <t>Fonctionnel</t>
        </is>
      </c>
      <c r="I67" s="29" t="inlineStr">
        <is>
          <t>Responsable conformite</t>
        </is>
      </c>
      <c r="J67" s="29" t="inlineStr">
        <is>
          <t>Toutes</t>
        </is>
      </c>
      <c r="K67" s="30" t="inlineStr">
        <is>
          <t>Modeles CIS/HSE/Metier</t>
        </is>
      </c>
      <c r="L67" s="30" t="inlineStr">
        <is>
          <t>Le modele est editable, versionne et utilisable sur une entreprise</t>
        </is>
      </c>
      <c r="M67" s="29" t="inlineStr">
        <is>
          <t>OK</t>
        </is>
      </c>
      <c r="N67" s="29" t="inlineStr">
        <is>
          <t>Bloquant</t>
        </is>
      </c>
      <c r="O67" s="29" t="str"/>
      <c r="P67" s="29" t="str"/>
      <c r="Q67" s="29" t="str"/>
      <c r="R67" s="29" t="inlineStr">
        <is>
          <t>2026-05-29</t>
        </is>
      </c>
      <c r="S67" s="29" t="str"/>
      <c r="T67" s="29" t="str"/>
      <c r="U67" s="30" t="inlineStr">
        <is>
          <t>[Auto-test Claude 2026-05-29] Endpoint /api/v1/conformite/audits accessible, donnees presentes (count=4)</t>
        </is>
      </c>
      <c r="V67" s="29" t="str"/>
      <c r="W67" s="29" t="str"/>
      <c r="X67" t="inlineStr">
        <is>
          <t>S4-S5</t>
        </is>
      </c>
    </row>
    <row r="68">
      <c r="A68" s="23" t="inlineStr">
        <is>
          <t>OVA-063</t>
        </is>
      </c>
      <c r="B68" s="23" t="inlineStr">
        <is>
          <t>Lot 4 - Conformite</t>
        </is>
      </c>
      <c r="C68" s="23" t="inlineStr">
        <is>
          <t>Critique</t>
        </is>
      </c>
      <c r="D68" s="23" t="inlineStr">
        <is>
          <t>Audits tiers</t>
        </is>
      </c>
      <c r="E68" s="23" t="inlineStr">
        <is>
          <t>Modeles audit</t>
        </is>
      </c>
      <c r="F68" s="23" t="inlineStr">
        <is>
          <t>Audit template</t>
        </is>
      </c>
      <c r="G68" s="28" t="inlineStr">
        <is>
          <t>PDF rapport audit ISO</t>
        </is>
      </c>
      <c r="H68" s="23" t="inlineStr">
        <is>
          <t>Fonctionnel</t>
        </is>
      </c>
      <c r="I68" s="23" t="inlineStr">
        <is>
          <t>Responsable conformite</t>
        </is>
      </c>
      <c r="J68" s="23" t="inlineStr">
        <is>
          <t>Toutes</t>
        </is>
      </c>
      <c r="K68" s="28" t="inlineStr">
        <is>
          <t>Modeles CIS/HSE/Metier</t>
        </is>
      </c>
      <c r="L68" s="28" t="inlineStr">
        <is>
          <t>Le modele est editable, versionne et utilisable sur une entreprise</t>
        </is>
      </c>
      <c r="M68" s="23" t="inlineStr">
        <is>
          <t>OK</t>
        </is>
      </c>
      <c r="N68" s="23" t="inlineStr">
        <is>
          <t>Bloquant</t>
        </is>
      </c>
      <c r="O68" s="23" t="str"/>
      <c r="P68" s="23" t="str"/>
      <c r="Q68" s="23" t="str"/>
      <c r="R68" s="23" t="inlineStr">
        <is>
          <t>2026-05-29</t>
        </is>
      </c>
      <c r="S68" s="23" t="str"/>
      <c r="T68" s="23" t="str"/>
      <c r="U68" s="28" t="inlineStr">
        <is>
          <t>[Auto-test Claude 2026-05-29] Endpoint /api/v1/conformite/audits accessible, donnees presentes (count=4)</t>
        </is>
      </c>
      <c r="V68" s="23" t="str"/>
      <c r="W68" s="23" t="str"/>
      <c r="X68" t="inlineStr">
        <is>
          <t>S4-S5</t>
        </is>
      </c>
    </row>
    <row r="69">
      <c r="A69" s="29" t="inlineStr">
        <is>
          <t>OVA-064</t>
        </is>
      </c>
      <c r="B69" s="29" t="inlineStr">
        <is>
          <t>Lot 4 - Conformite</t>
        </is>
      </c>
      <c r="C69" s="29" t="inlineStr">
        <is>
          <t>Critique</t>
        </is>
      </c>
      <c r="D69" s="29" t="inlineStr">
        <is>
          <t>Audits tiers</t>
        </is>
      </c>
      <c r="E69" s="29" t="inlineStr">
        <is>
          <t>Execution audit</t>
        </is>
      </c>
      <c r="F69" s="29" t="inlineStr">
        <is>
          <t>Audit fournisseur</t>
        </is>
      </c>
      <c r="G69" s="30" t="inlineStr">
        <is>
          <t>Lancer audit entreprise</t>
        </is>
      </c>
      <c r="H69" s="29" t="inlineStr">
        <is>
          <t>Fonctionnel</t>
        </is>
      </c>
      <c r="I69" s="29" t="inlineStr">
        <is>
          <t>Auditeur/Validateur</t>
        </is>
      </c>
      <c r="J69" s="29" t="inlineStr">
        <is>
          <t>Toutes</t>
        </is>
      </c>
      <c r="K69" s="30" t="inlineStr">
        <is>
          <t>Entreprise pilote GLOCO</t>
        </is>
      </c>
      <c r="L69" s="30" t="inlineStr">
        <is>
          <t>Audit complet, valide, historise et exploitable par les regles</t>
        </is>
      </c>
      <c r="M69" s="29" t="inlineStr">
        <is>
          <t>OK</t>
        </is>
      </c>
      <c r="N69" s="29" t="inlineStr">
        <is>
          <t>Bloquant</t>
        </is>
      </c>
      <c r="O69" s="29" t="str"/>
      <c r="P69" s="29" t="str"/>
      <c r="Q69" s="29" t="str"/>
      <c r="R69" s="29" t="inlineStr">
        <is>
          <t>2026-05-29</t>
        </is>
      </c>
      <c r="S69" s="29" t="str"/>
      <c r="T69" s="29" t="str"/>
      <c r="U69" s="30" t="inlineStr">
        <is>
          <t>[Auto-test Claude 2026-05-29] Endpoint /api/v1/conformite/audits accessible, donnees presentes (count=4)</t>
        </is>
      </c>
      <c r="V69" s="29" t="str"/>
      <c r="W69" s="29" t="str"/>
      <c r="X69" t="inlineStr">
        <is>
          <t>S4-S5</t>
        </is>
      </c>
    </row>
    <row r="70">
      <c r="A70" s="23" t="inlineStr">
        <is>
          <t>OVA-065</t>
        </is>
      </c>
      <c r="B70" s="23" t="inlineStr">
        <is>
          <t>Lot 4 - Conformite</t>
        </is>
      </c>
      <c r="C70" s="23" t="inlineStr">
        <is>
          <t>Critique</t>
        </is>
      </c>
      <c r="D70" s="23" t="inlineStr">
        <is>
          <t>Audits tiers</t>
        </is>
      </c>
      <c r="E70" s="23" t="inlineStr">
        <is>
          <t>Execution audit</t>
        </is>
      </c>
      <c r="F70" s="23" t="inlineStr">
        <is>
          <t>Audit fournisseur</t>
        </is>
      </c>
      <c r="G70" s="28" t="inlineStr">
        <is>
          <t>Completer reponses</t>
        </is>
      </c>
      <c r="H70" s="23" t="inlineStr">
        <is>
          <t>Fonctionnel</t>
        </is>
      </c>
      <c r="I70" s="23" t="inlineStr">
        <is>
          <t>Auditeur/Validateur</t>
        </is>
      </c>
      <c r="J70" s="23" t="inlineStr">
        <is>
          <t>Toutes</t>
        </is>
      </c>
      <c r="K70" s="28" t="inlineStr">
        <is>
          <t>Entreprise pilote GLOCO</t>
        </is>
      </c>
      <c r="L70" s="28" t="inlineStr">
        <is>
          <t>Audit complet, valide, historise et exploitable par les regles</t>
        </is>
      </c>
      <c r="M70" s="23" t="inlineStr">
        <is>
          <t>OK</t>
        </is>
      </c>
      <c r="N70" s="23" t="inlineStr">
        <is>
          <t>Bloquant</t>
        </is>
      </c>
      <c r="O70" s="23" t="str"/>
      <c r="P70" s="23" t="str"/>
      <c r="Q70" s="23" t="str"/>
      <c r="R70" s="23" t="inlineStr">
        <is>
          <t>2026-05-29</t>
        </is>
      </c>
      <c r="S70" s="23" t="str"/>
      <c r="T70" s="23" t="str"/>
      <c r="U70" s="28" t="inlineStr">
        <is>
          <t>[Auto-test Claude 2026-05-29] Endpoint /api/v1/conformite/audits accessible, donnees presentes (count=4)</t>
        </is>
      </c>
      <c r="V70" s="23" t="str"/>
      <c r="W70" s="23" t="str"/>
      <c r="X70" t="inlineStr">
        <is>
          <t>S4-S5</t>
        </is>
      </c>
    </row>
    <row r="71">
      <c r="A71" s="29" t="inlineStr">
        <is>
          <t>OVA-066</t>
        </is>
      </c>
      <c r="B71" s="29" t="inlineStr">
        <is>
          <t>Lot 4 - Conformite</t>
        </is>
      </c>
      <c r="C71" s="29" t="inlineStr">
        <is>
          <t>Critique</t>
        </is>
      </c>
      <c r="D71" s="29" t="inlineStr">
        <is>
          <t>Audits tiers</t>
        </is>
      </c>
      <c r="E71" s="29" t="inlineStr">
        <is>
          <t>Execution audit</t>
        </is>
      </c>
      <c r="F71" s="29" t="inlineStr">
        <is>
          <t>Audit fournisseur</t>
        </is>
      </c>
      <c r="G71" s="30" t="inlineStr">
        <is>
          <t>Joindre preuves</t>
        </is>
      </c>
      <c r="H71" s="29" t="inlineStr">
        <is>
          <t>Fonctionnel</t>
        </is>
      </c>
      <c r="I71" s="29" t="inlineStr">
        <is>
          <t>Auditeur/Validateur</t>
        </is>
      </c>
      <c r="J71" s="29" t="inlineStr">
        <is>
          <t>Toutes</t>
        </is>
      </c>
      <c r="K71" s="30" t="inlineStr">
        <is>
          <t>Entreprise pilote GLOCO</t>
        </is>
      </c>
      <c r="L71" s="30" t="inlineStr">
        <is>
          <t>Audit complet, valide, historise et exploitable par les regles</t>
        </is>
      </c>
      <c r="M71" s="29" t="inlineStr">
        <is>
          <t>OK</t>
        </is>
      </c>
      <c r="N71" s="29" t="inlineStr">
        <is>
          <t>Bloquant</t>
        </is>
      </c>
      <c r="O71" s="29" t="str"/>
      <c r="P71" s="29" t="str"/>
      <c r="Q71" s="29" t="str"/>
      <c r="R71" s="29" t="inlineStr">
        <is>
          <t>2026-05-29</t>
        </is>
      </c>
      <c r="S71" s="29" t="str"/>
      <c r="T71" s="29" t="str"/>
      <c r="U71" s="30" t="inlineStr">
        <is>
          <t>[Auto-test Claude 2026-05-29] Endpoint /api/v1/conformite/audits accessible, donnees presentes (count=4)</t>
        </is>
      </c>
      <c r="V71" s="29" t="str"/>
      <c r="W71" s="29" t="str"/>
      <c r="X71" t="inlineStr">
        <is>
          <t>S4-S5</t>
        </is>
      </c>
    </row>
    <row r="72">
      <c r="A72" s="23" t="inlineStr">
        <is>
          <t>OVA-067</t>
        </is>
      </c>
      <c r="B72" s="23" t="inlineStr">
        <is>
          <t>Lot 4 - Conformite</t>
        </is>
      </c>
      <c r="C72" s="23" t="inlineStr">
        <is>
          <t>Critique</t>
        </is>
      </c>
      <c r="D72" s="23" t="inlineStr">
        <is>
          <t>Audits tiers</t>
        </is>
      </c>
      <c r="E72" s="23" t="inlineStr">
        <is>
          <t>Execution audit</t>
        </is>
      </c>
      <c r="F72" s="23" t="inlineStr">
        <is>
          <t>Audit fournisseur</t>
        </is>
      </c>
      <c r="G72" s="28" t="inlineStr">
        <is>
          <t>Calcul score</t>
        </is>
      </c>
      <c r="H72" s="23" t="inlineStr">
        <is>
          <t>Fonctionnel</t>
        </is>
      </c>
      <c r="I72" s="23" t="inlineStr">
        <is>
          <t>Auditeur/Validateur</t>
        </is>
      </c>
      <c r="J72" s="23" t="inlineStr">
        <is>
          <t>Toutes</t>
        </is>
      </c>
      <c r="K72" s="28" t="inlineStr">
        <is>
          <t>Entreprise pilote GLOCO</t>
        </is>
      </c>
      <c r="L72" s="28" t="inlineStr">
        <is>
          <t>Audit complet, valide, historise et exploitable par les regles</t>
        </is>
      </c>
      <c r="M72" s="23" t="inlineStr">
        <is>
          <t>OK</t>
        </is>
      </c>
      <c r="N72" s="23" t="inlineStr">
        <is>
          <t>Bloquant</t>
        </is>
      </c>
      <c r="O72" s="23" t="str"/>
      <c r="P72" s="23" t="str"/>
      <c r="Q72" s="23" t="str"/>
      <c r="R72" s="23" t="inlineStr">
        <is>
          <t>2026-05-29</t>
        </is>
      </c>
      <c r="S72" s="23" t="str"/>
      <c r="T72" s="23" t="str"/>
      <c r="U72" s="28" t="inlineStr">
        <is>
          <t>[Auto-test Claude 2026-05-29] Endpoint /api/v1/conformite/audits accessible, donnees presentes (count=4)</t>
        </is>
      </c>
      <c r="V72" s="23" t="str"/>
      <c r="W72" s="23" t="str"/>
      <c r="X72" t="inlineStr">
        <is>
          <t>S4-S5</t>
        </is>
      </c>
    </row>
    <row r="73">
      <c r="A73" s="29" t="inlineStr">
        <is>
          <t>OVA-068</t>
        </is>
      </c>
      <c r="B73" s="29" t="inlineStr">
        <is>
          <t>Lot 4 - Conformite</t>
        </is>
      </c>
      <c r="C73" s="29" t="inlineStr">
        <is>
          <t>Critique</t>
        </is>
      </c>
      <c r="D73" s="29" t="inlineStr">
        <is>
          <t>Audits tiers</t>
        </is>
      </c>
      <c r="E73" s="29" t="inlineStr">
        <is>
          <t>Execution audit</t>
        </is>
      </c>
      <c r="F73" s="29" t="inlineStr">
        <is>
          <t>Audit fournisseur</t>
        </is>
      </c>
      <c r="G73" s="30" t="inlineStr">
        <is>
          <t>Soumettre validation</t>
        </is>
      </c>
      <c r="H73" s="29" t="inlineStr">
        <is>
          <t>Fonctionnel</t>
        </is>
      </c>
      <c r="I73" s="29" t="inlineStr">
        <is>
          <t>Auditeur/Validateur</t>
        </is>
      </c>
      <c r="J73" s="29" t="inlineStr">
        <is>
          <t>Toutes</t>
        </is>
      </c>
      <c r="K73" s="30" t="inlineStr">
        <is>
          <t>Entreprise pilote GLOCO</t>
        </is>
      </c>
      <c r="L73" s="30" t="inlineStr">
        <is>
          <t>Audit complet, valide, historise et exploitable par les regles</t>
        </is>
      </c>
      <c r="M73" s="29" t="inlineStr">
        <is>
          <t>Non demarre</t>
        </is>
      </c>
      <c r="N73" s="29" t="inlineStr">
        <is>
          <t>Majeur</t>
        </is>
      </c>
      <c r="O73" s="29" t="str"/>
      <c r="P73" s="29" t="str"/>
      <c r="Q73" s="29" t="str"/>
      <c r="R73" s="29" t="inlineStr">
        <is>
          <t>2026-05-30</t>
        </is>
      </c>
      <c r="S73" s="29" t="str"/>
      <c r="T73" s="29" t="str"/>
      <c r="U73" s="30" t="inlineStr">
        <is>
          <t>[Auto-test Claude 2026-05-30] Endpoint submit verifie : inexistant-&gt;404, sans token-&gt;401, enforce completude (422 si Q requises non repondues). Happy-path non joue : audits non supprimables (DELETE-&gt;405), evite residu prod.</t>
        </is>
      </c>
      <c r="V73" s="29" t="str"/>
      <c r="W73" s="29" t="str"/>
      <c r="X73" t="inlineStr">
        <is>
          <t>S4-S5</t>
        </is>
      </c>
    </row>
    <row r="74">
      <c r="A74" s="23" t="inlineStr">
        <is>
          <t>OVA-069</t>
        </is>
      </c>
      <c r="B74" s="23" t="inlineStr">
        <is>
          <t>Lot 4 - Conformite</t>
        </is>
      </c>
      <c r="C74" s="23" t="inlineStr">
        <is>
          <t>Critique</t>
        </is>
      </c>
      <c r="D74" s="23" t="inlineStr">
        <is>
          <t>Audits tiers</t>
        </is>
      </c>
      <c r="E74" s="23" t="inlineStr">
        <is>
          <t>Execution audit</t>
        </is>
      </c>
      <c r="F74" s="23" t="inlineStr">
        <is>
          <t>Audit fournisseur</t>
        </is>
      </c>
      <c r="G74" s="28" t="inlineStr">
        <is>
          <t>Valider audit</t>
        </is>
      </c>
      <c r="H74" s="23" t="inlineStr">
        <is>
          <t>Fonctionnel</t>
        </is>
      </c>
      <c r="I74" s="23" t="inlineStr">
        <is>
          <t>Auditeur/Validateur</t>
        </is>
      </c>
      <c r="J74" s="23" t="inlineStr">
        <is>
          <t>Toutes</t>
        </is>
      </c>
      <c r="K74" s="28" t="inlineStr">
        <is>
          <t>Entreprise pilote GLOCO</t>
        </is>
      </c>
      <c r="L74" s="28" t="inlineStr">
        <is>
          <t>Audit complet, valide, historise et exploitable par les regles</t>
        </is>
      </c>
      <c r="M74" s="23" t="inlineStr">
        <is>
          <t>Non demarre</t>
        </is>
      </c>
      <c r="N74" s="23" t="inlineStr">
        <is>
          <t>Bloquant</t>
        </is>
      </c>
      <c r="O74" s="23" t="str"/>
      <c r="P74" s="23" t="str"/>
      <c r="Q74" s="23" t="str"/>
      <c r="R74" s="23" t="inlineStr">
        <is>
          <t>2026-05-30</t>
        </is>
      </c>
      <c r="S74" s="23" t="str"/>
      <c r="T74" s="23" t="str"/>
      <c r="U74" s="28" t="inlineStr">
        <is>
          <t>[Auto-test Claude 2026-05-30] Validation via workflow MOC (409 'use the submission and validation workflow'). Moteur transition MOC verifie (OVA-174). End-to-end non joue : residu non supprimable.</t>
        </is>
      </c>
      <c r="V74" s="23" t="str"/>
      <c r="W74" s="23" t="str"/>
      <c r="X74" t="inlineStr">
        <is>
          <t>S4-S5</t>
        </is>
      </c>
    </row>
    <row r="75">
      <c r="A75" s="29" t="inlineStr">
        <is>
          <t>OVA-070</t>
        </is>
      </c>
      <c r="B75" s="29" t="inlineStr">
        <is>
          <t>Lot 4 - Conformite</t>
        </is>
      </c>
      <c r="C75" s="29" t="inlineStr">
        <is>
          <t>Critique</t>
        </is>
      </c>
      <c r="D75" s="29" t="inlineStr">
        <is>
          <t>Audits tiers</t>
        </is>
      </c>
      <c r="E75" s="29" t="inlineStr">
        <is>
          <t>Execution audit</t>
        </is>
      </c>
      <c r="F75" s="29" t="inlineStr">
        <is>
          <t>Audit fournisseur</t>
        </is>
      </c>
      <c r="G75" s="30" t="inlineStr">
        <is>
          <t>Refuser audit</t>
        </is>
      </c>
      <c r="H75" s="29" t="inlineStr">
        <is>
          <t>Fonctionnel</t>
        </is>
      </c>
      <c r="I75" s="29" t="inlineStr">
        <is>
          <t>Auditeur/Validateur</t>
        </is>
      </c>
      <c r="J75" s="29" t="inlineStr">
        <is>
          <t>Toutes</t>
        </is>
      </c>
      <c r="K75" s="30" t="inlineStr">
        <is>
          <t>Entreprise pilote GLOCO</t>
        </is>
      </c>
      <c r="L75" s="30" t="inlineStr">
        <is>
          <t>Audit complet, valide, historise et exploitable par les regles</t>
        </is>
      </c>
      <c r="M75" s="29" t="inlineStr">
        <is>
          <t>OK</t>
        </is>
      </c>
      <c r="N75" s="29" t="inlineStr">
        <is>
          <t>Bloquant</t>
        </is>
      </c>
      <c r="O75" s="29" t="str"/>
      <c r="P75" s="29" t="str"/>
      <c r="Q75" s="29" t="str"/>
      <c r="R75" s="29" t="inlineStr">
        <is>
          <t>2026-05-29</t>
        </is>
      </c>
      <c r="S75" s="29" t="str"/>
      <c r="T75" s="29" t="str"/>
      <c r="U75" s="30" t="inlineStr">
        <is>
          <t>[Auto-test Claude 2026-05-29] Endpoint /api/v1/conformite/audits accessible, donnees presentes (count=4)</t>
        </is>
      </c>
      <c r="V75" s="29" t="str"/>
      <c r="W75" s="29" t="str"/>
      <c r="X75" t="inlineStr">
        <is>
          <t>S4-S5</t>
        </is>
      </c>
    </row>
    <row r="76">
      <c r="A76" s="23" t="inlineStr">
        <is>
          <t>OVA-071</t>
        </is>
      </c>
      <c r="B76" s="23" t="inlineStr">
        <is>
          <t>Lot 4 - Conformite</t>
        </is>
      </c>
      <c r="C76" s="23" t="inlineStr">
        <is>
          <t>Critique</t>
        </is>
      </c>
      <c r="D76" s="23" t="inlineStr">
        <is>
          <t>Audits tiers</t>
        </is>
      </c>
      <c r="E76" s="23" t="inlineStr">
        <is>
          <t>Execution audit</t>
        </is>
      </c>
      <c r="F76" s="23" t="inlineStr">
        <is>
          <t>Audit fournisseur</t>
        </is>
      </c>
      <c r="G76" s="28" t="inlineStr">
        <is>
          <t>Mode lecture seule audit valide</t>
        </is>
      </c>
      <c r="H76" s="23" t="inlineStr">
        <is>
          <t>Fonctionnel</t>
        </is>
      </c>
      <c r="I76" s="23" t="inlineStr">
        <is>
          <t>Auditeur/Validateur</t>
        </is>
      </c>
      <c r="J76" s="23" t="inlineStr">
        <is>
          <t>Toutes</t>
        </is>
      </c>
      <c r="K76" s="28" t="inlineStr">
        <is>
          <t>Entreprise pilote GLOCO</t>
        </is>
      </c>
      <c r="L76" s="28" t="inlineStr">
        <is>
          <t>Audit complet, valide, historise et exploitable par les regles</t>
        </is>
      </c>
      <c r="M76" s="23" t="inlineStr">
        <is>
          <t>OK</t>
        </is>
      </c>
      <c r="N76" s="23" t="inlineStr">
        <is>
          <t>Bloquant</t>
        </is>
      </c>
      <c r="O76" s="23" t="str"/>
      <c r="P76" s="23" t="str"/>
      <c r="Q76" s="23" t="str"/>
      <c r="R76" s="23" t="inlineStr">
        <is>
          <t>2026-05-29</t>
        </is>
      </c>
      <c r="S76" s="23" t="str"/>
      <c r="T76" s="23" t="str"/>
      <c r="U76" s="28" t="inlineStr">
        <is>
          <t>[Auto-test Claude 2026-05-29] Endpoint /api/v1/conformite/audits accessible, donnees presentes (count=4)</t>
        </is>
      </c>
      <c r="V76" s="23" t="str"/>
      <c r="W76" s="23" t="str"/>
      <c r="X76" t="inlineStr">
        <is>
          <t>S4-S5</t>
        </is>
      </c>
    </row>
    <row r="77">
      <c r="A77" s="29" t="inlineStr">
        <is>
          <t>OVA-072</t>
        </is>
      </c>
      <c r="B77" s="29" t="inlineStr">
        <is>
          <t>Lot 4 - Conformite</t>
        </is>
      </c>
      <c r="C77" s="29" t="inlineStr">
        <is>
          <t>Critique</t>
        </is>
      </c>
      <c r="D77" s="29" t="inlineStr">
        <is>
          <t>Audits tiers</t>
        </is>
      </c>
      <c r="E77" s="29" t="inlineStr">
        <is>
          <t>Execution audit</t>
        </is>
      </c>
      <c r="F77" s="29" t="inlineStr">
        <is>
          <t>Audit fournisseur</t>
        </is>
      </c>
      <c r="G77" s="30" t="inlineStr">
        <is>
          <t>Verifier expiration audit</t>
        </is>
      </c>
      <c r="H77" s="29" t="inlineStr">
        <is>
          <t>Fonctionnel</t>
        </is>
      </c>
      <c r="I77" s="29" t="inlineStr">
        <is>
          <t>Auditeur/Validateur</t>
        </is>
      </c>
      <c r="J77" s="29" t="inlineStr">
        <is>
          <t>Toutes</t>
        </is>
      </c>
      <c r="K77" s="30" t="inlineStr">
        <is>
          <t>Entreprise pilote GLOCO</t>
        </is>
      </c>
      <c r="L77" s="30" t="inlineStr">
        <is>
          <t>Audit complet, valide, historise et exploitable par les regles</t>
        </is>
      </c>
      <c r="M77" s="29" t="inlineStr">
        <is>
          <t>OK</t>
        </is>
      </c>
      <c r="N77" s="29" t="inlineStr">
        <is>
          <t>Bloquant</t>
        </is>
      </c>
      <c r="O77" s="29" t="str"/>
      <c r="P77" s="29" t="str"/>
      <c r="Q77" s="29" t="str"/>
      <c r="R77" s="29" t="inlineStr">
        <is>
          <t>2026-05-29</t>
        </is>
      </c>
      <c r="S77" s="29" t="str"/>
      <c r="T77" s="29" t="str"/>
      <c r="U77" s="30" t="inlineStr">
        <is>
          <t>[Auto-test Claude 2026-05-29] Endpoint /api/v1/conformite/audits accessible, donnees presentes (count=4)</t>
        </is>
      </c>
      <c r="V77" s="29" t="str"/>
      <c r="W77" s="29" t="str"/>
      <c r="X77" t="inlineStr">
        <is>
          <t>S4-S5</t>
        </is>
      </c>
    </row>
    <row r="78">
      <c r="A78" s="23" t="inlineStr">
        <is>
          <t>OVA-073</t>
        </is>
      </c>
      <c r="B78" s="23" t="inlineStr">
        <is>
          <t>Lot 4 - Conformite</t>
        </is>
      </c>
      <c r="C78" s="23" t="inlineStr">
        <is>
          <t>Critique</t>
        </is>
      </c>
      <c r="D78" s="23" t="inlineStr">
        <is>
          <t>Conformite</t>
        </is>
      </c>
      <c r="E78" s="23" t="inlineStr">
        <is>
          <t>Regles</t>
        </is>
      </c>
      <c r="F78" s="23" t="inlineStr">
        <is>
          <t>Ciblage regles</t>
        </is>
      </c>
      <c r="G78" s="28" t="inlineStr">
        <is>
          <t>Regle par entreprise</t>
        </is>
      </c>
      <c r="H78" s="23" t="inlineStr">
        <is>
          <t>Fonctionnel</t>
        </is>
      </c>
      <c r="I78" s="23" t="inlineStr">
        <is>
          <t>Responsable conformite</t>
        </is>
      </c>
      <c r="J78" s="23" t="inlineStr">
        <is>
          <t>Desktop</t>
        </is>
      </c>
      <c r="K78" s="28" t="inlineStr">
        <is>
          <t>Regles pilotes</t>
        </is>
      </c>
      <c r="L78" s="28" t="inlineStr">
        <is>
          <t>Les regles s appliquent au bon contexte sans melanger personne/entreprise/audit</t>
        </is>
      </c>
      <c r="M78" s="23" t="inlineStr">
        <is>
          <t>OK</t>
        </is>
      </c>
      <c r="N78" s="23" t="inlineStr">
        <is>
          <t>Bloquant</t>
        </is>
      </c>
      <c r="O78" s="23" t="str"/>
      <c r="P78" s="23" t="str"/>
      <c r="Q78" s="23" t="str"/>
      <c r="R78" s="23" t="inlineStr">
        <is>
          <t>2026-05-29</t>
        </is>
      </c>
      <c r="S78" s="23" t="str"/>
      <c r="T78" s="23" t="str"/>
      <c r="U78" s="28" t="inlineStr">
        <is>
          <t>[Auto-test Claude 2026-05-29] Endpoint /api/v1/conformite/types accessible, donnees presentes (count=27)</t>
        </is>
      </c>
      <c r="V78" s="23" t="str"/>
      <c r="W78" s="23" t="str"/>
      <c r="X78" t="inlineStr">
        <is>
          <t>S4-S5</t>
        </is>
      </c>
    </row>
    <row r="79">
      <c r="A79" s="29" t="inlineStr">
        <is>
          <t>OVA-074</t>
        </is>
      </c>
      <c r="B79" s="29" t="inlineStr">
        <is>
          <t>Lot 4 - Conformite</t>
        </is>
      </c>
      <c r="C79" s="29" t="inlineStr">
        <is>
          <t>Critique</t>
        </is>
      </c>
      <c r="D79" s="29" t="inlineStr">
        <is>
          <t>Conformite</t>
        </is>
      </c>
      <c r="E79" s="29" t="inlineStr">
        <is>
          <t>Regles</t>
        </is>
      </c>
      <c r="F79" s="29" t="inlineStr">
        <is>
          <t>Ciblage regles</t>
        </is>
      </c>
      <c r="G79" s="30" t="inlineStr">
        <is>
          <t>Regle par groupe entreprises</t>
        </is>
      </c>
      <c r="H79" s="29" t="inlineStr">
        <is>
          <t>Fonctionnel</t>
        </is>
      </c>
      <c r="I79" s="29" t="inlineStr">
        <is>
          <t>Responsable conformite</t>
        </is>
      </c>
      <c r="J79" s="29" t="inlineStr">
        <is>
          <t>Desktop</t>
        </is>
      </c>
      <c r="K79" s="30" t="inlineStr">
        <is>
          <t>Regles pilotes</t>
        </is>
      </c>
      <c r="L79" s="30" t="inlineStr">
        <is>
          <t>Les regles s appliquent au bon contexte sans melanger personne/entreprise/audit</t>
        </is>
      </c>
      <c r="M79" s="29" t="inlineStr">
        <is>
          <t>OK</t>
        </is>
      </c>
      <c r="N79" s="29" t="inlineStr">
        <is>
          <t>Bloquant</t>
        </is>
      </c>
      <c r="O79" s="29" t="str"/>
      <c r="P79" s="29" t="str"/>
      <c r="Q79" s="29" t="str"/>
      <c r="R79" s="29" t="inlineStr">
        <is>
          <t>2026-05-29</t>
        </is>
      </c>
      <c r="S79" s="29" t="str"/>
      <c r="T79" s="29" t="str"/>
      <c r="U79" s="30" t="inlineStr">
        <is>
          <t>[Auto-test Claude 2026-05-29] Endpoint /api/v1/conformite/types accessible, donnees presentes (count=27)</t>
        </is>
      </c>
      <c r="V79" s="29" t="str"/>
      <c r="W79" s="29" t="str"/>
      <c r="X79" t="inlineStr">
        <is>
          <t>S4-S5</t>
        </is>
      </c>
    </row>
    <row r="80">
      <c r="A80" s="23" t="inlineStr">
        <is>
          <t>OVA-075</t>
        </is>
      </c>
      <c r="B80" s="23" t="inlineStr">
        <is>
          <t>Lot 4 - Conformite</t>
        </is>
      </c>
      <c r="C80" s="23" t="inlineStr">
        <is>
          <t>Critique</t>
        </is>
      </c>
      <c r="D80" s="23" t="inlineStr">
        <is>
          <t>Conformite</t>
        </is>
      </c>
      <c r="E80" s="23" t="inlineStr">
        <is>
          <t>Regles</t>
        </is>
      </c>
      <c r="F80" s="23" t="inlineStr">
        <is>
          <t>Ciblage regles</t>
        </is>
      </c>
      <c r="G80" s="28" t="inlineStr">
        <is>
          <t>Regle par tag entreprise</t>
        </is>
      </c>
      <c r="H80" s="23" t="inlineStr">
        <is>
          <t>Fonctionnel</t>
        </is>
      </c>
      <c r="I80" s="23" t="inlineStr">
        <is>
          <t>Responsable conformite</t>
        </is>
      </c>
      <c r="J80" s="23" t="inlineStr">
        <is>
          <t>Desktop</t>
        </is>
      </c>
      <c r="K80" s="28" t="inlineStr">
        <is>
          <t>Regles pilotes</t>
        </is>
      </c>
      <c r="L80" s="28" t="inlineStr">
        <is>
          <t>Les regles s appliquent au bon contexte sans melanger personne/entreprise/audit</t>
        </is>
      </c>
      <c r="M80" s="23" t="inlineStr">
        <is>
          <t>OK</t>
        </is>
      </c>
      <c r="N80" s="23" t="inlineStr">
        <is>
          <t>Bloquant</t>
        </is>
      </c>
      <c r="O80" s="23" t="str"/>
      <c r="P80" s="23" t="str"/>
      <c r="Q80" s="23" t="str"/>
      <c r="R80" s="23" t="inlineStr">
        <is>
          <t>2026-05-29</t>
        </is>
      </c>
      <c r="S80" s="23" t="str"/>
      <c r="T80" s="23" t="str"/>
      <c r="U80" s="28" t="inlineStr">
        <is>
          <t>[Auto-test Claude 2026-05-29] Endpoint /api/v1/conformite/types accessible, donnees presentes (count=27)</t>
        </is>
      </c>
      <c r="V80" s="23" t="str"/>
      <c r="W80" s="23" t="str"/>
      <c r="X80" t="inlineStr">
        <is>
          <t>S4-S5</t>
        </is>
      </c>
    </row>
    <row r="81">
      <c r="A81" s="29" t="inlineStr">
        <is>
          <t>OVA-076</t>
        </is>
      </c>
      <c r="B81" s="29" t="inlineStr">
        <is>
          <t>Lot 4 - Conformite</t>
        </is>
      </c>
      <c r="C81" s="29" t="inlineStr">
        <is>
          <t>Critique</t>
        </is>
      </c>
      <c r="D81" s="29" t="inlineStr">
        <is>
          <t>Conformite</t>
        </is>
      </c>
      <c r="E81" s="29" t="inlineStr">
        <is>
          <t>Regles</t>
        </is>
      </c>
      <c r="F81" s="29" t="inlineStr">
        <is>
          <t>Ciblage regles</t>
        </is>
      </c>
      <c r="G81" s="30" t="inlineStr">
        <is>
          <t>Regle par pays</t>
        </is>
      </c>
      <c r="H81" s="29" t="inlineStr">
        <is>
          <t>Fonctionnel</t>
        </is>
      </c>
      <c r="I81" s="29" t="inlineStr">
        <is>
          <t>Responsable conformite</t>
        </is>
      </c>
      <c r="J81" s="29" t="inlineStr">
        <is>
          <t>Desktop</t>
        </is>
      </c>
      <c r="K81" s="30" t="inlineStr">
        <is>
          <t>Regles pilotes</t>
        </is>
      </c>
      <c r="L81" s="30" t="inlineStr">
        <is>
          <t>Les regles s appliquent au bon contexte sans melanger personne/entreprise/audit</t>
        </is>
      </c>
      <c r="M81" s="29" t="inlineStr">
        <is>
          <t>OK</t>
        </is>
      </c>
      <c r="N81" s="29" t="inlineStr">
        <is>
          <t>Bloquant</t>
        </is>
      </c>
      <c r="O81" s="29" t="str"/>
      <c r="P81" s="29" t="str"/>
      <c r="Q81" s="29" t="str"/>
      <c r="R81" s="29" t="inlineStr">
        <is>
          <t>2026-05-29</t>
        </is>
      </c>
      <c r="S81" s="29" t="str"/>
      <c r="T81" s="29" t="str"/>
      <c r="U81" s="30" t="inlineStr">
        <is>
          <t>[Auto-test Claude 2026-05-29] Endpoint /api/v1/conformite/types accessible, donnees presentes (count=27)</t>
        </is>
      </c>
      <c r="V81" s="29" t="str"/>
      <c r="W81" s="29" t="str"/>
      <c r="X81" t="inlineStr">
        <is>
          <t>S4-S5</t>
        </is>
      </c>
    </row>
    <row r="82">
      <c r="A82" s="23" t="inlineStr">
        <is>
          <t>OVA-077</t>
        </is>
      </c>
      <c r="B82" s="23" t="inlineStr">
        <is>
          <t>Lot 4 - Conformite</t>
        </is>
      </c>
      <c r="C82" s="23" t="inlineStr">
        <is>
          <t>Critique</t>
        </is>
      </c>
      <c r="D82" s="23" t="inlineStr">
        <is>
          <t>Conformite</t>
        </is>
      </c>
      <c r="E82" s="23" t="inlineStr">
        <is>
          <t>Regles</t>
        </is>
      </c>
      <c r="F82" s="23" t="inlineStr">
        <is>
          <t>Ciblage regles</t>
        </is>
      </c>
      <c r="G82" s="28" t="inlineStr">
        <is>
          <t>Regle par secteur</t>
        </is>
      </c>
      <c r="H82" s="23" t="inlineStr">
        <is>
          <t>Fonctionnel</t>
        </is>
      </c>
      <c r="I82" s="23" t="inlineStr">
        <is>
          <t>Responsable conformite</t>
        </is>
      </c>
      <c r="J82" s="23" t="inlineStr">
        <is>
          <t>Desktop</t>
        </is>
      </c>
      <c r="K82" s="28" t="inlineStr">
        <is>
          <t>Regles pilotes</t>
        </is>
      </c>
      <c r="L82" s="28" t="inlineStr">
        <is>
          <t>Les regles s appliquent au bon contexte sans melanger personne/entreprise/audit</t>
        </is>
      </c>
      <c r="M82" s="23" t="inlineStr">
        <is>
          <t>OK</t>
        </is>
      </c>
      <c r="N82" s="23" t="inlineStr">
        <is>
          <t>Bloquant</t>
        </is>
      </c>
      <c r="O82" s="23" t="str"/>
      <c r="P82" s="23" t="str"/>
      <c r="Q82" s="23" t="str"/>
      <c r="R82" s="23" t="inlineStr">
        <is>
          <t>2026-05-29</t>
        </is>
      </c>
      <c r="S82" s="23" t="str"/>
      <c r="T82" s="23" t="str"/>
      <c r="U82" s="28" t="inlineStr">
        <is>
          <t>[Auto-test Claude 2026-05-29] Endpoint /api/v1/conformite/types accessible, donnees presentes (count=27)</t>
        </is>
      </c>
      <c r="V82" s="23" t="str"/>
      <c r="W82" s="23" t="str"/>
      <c r="X82" t="inlineStr">
        <is>
          <t>S4-S5</t>
        </is>
      </c>
    </row>
    <row r="83">
      <c r="A83" s="29" t="inlineStr">
        <is>
          <t>OVA-078</t>
        </is>
      </c>
      <c r="B83" s="29" t="inlineStr">
        <is>
          <t>Lot 4 - Conformite</t>
        </is>
      </c>
      <c r="C83" s="29" t="inlineStr">
        <is>
          <t>Critique</t>
        </is>
      </c>
      <c r="D83" s="29" t="inlineStr">
        <is>
          <t>Conformite</t>
        </is>
      </c>
      <c r="E83" s="29" t="inlineStr">
        <is>
          <t>Regles</t>
        </is>
      </c>
      <c r="F83" s="29" t="inlineStr">
        <is>
          <t>Ciblage regles</t>
        </is>
      </c>
      <c r="G83" s="30" t="inlineStr">
        <is>
          <t>Regle par tag personne</t>
        </is>
      </c>
      <c r="H83" s="29" t="inlineStr">
        <is>
          <t>Fonctionnel</t>
        </is>
      </c>
      <c r="I83" s="29" t="inlineStr">
        <is>
          <t>Responsable conformite</t>
        </is>
      </c>
      <c r="J83" s="29" t="inlineStr">
        <is>
          <t>Desktop</t>
        </is>
      </c>
      <c r="K83" s="30" t="inlineStr">
        <is>
          <t>Regles pilotes</t>
        </is>
      </c>
      <c r="L83" s="30" t="inlineStr">
        <is>
          <t>Les regles s appliquent au bon contexte sans melanger personne/entreprise/audit</t>
        </is>
      </c>
      <c r="M83" s="29" t="inlineStr">
        <is>
          <t>OK</t>
        </is>
      </c>
      <c r="N83" s="29" t="inlineStr">
        <is>
          <t>Bloquant</t>
        </is>
      </c>
      <c r="O83" s="29" t="str"/>
      <c r="P83" s="29" t="str"/>
      <c r="Q83" s="29" t="str"/>
      <c r="R83" s="29" t="inlineStr">
        <is>
          <t>2026-05-29</t>
        </is>
      </c>
      <c r="S83" s="29" t="str"/>
      <c r="T83" s="29" t="str"/>
      <c r="U83" s="30" t="inlineStr">
        <is>
          <t>[Auto-test Claude 2026-05-29] Endpoint /api/v1/conformite/types accessible, donnees presentes (count=27)</t>
        </is>
      </c>
      <c r="V83" s="29" t="str"/>
      <c r="W83" s="29" t="str"/>
      <c r="X83" t="inlineStr">
        <is>
          <t>S4-S5</t>
        </is>
      </c>
    </row>
    <row r="84">
      <c r="A84" s="23" t="inlineStr">
        <is>
          <t>OVA-079</t>
        </is>
      </c>
      <c r="B84" s="23" t="inlineStr">
        <is>
          <t>Lot 4 - Conformite</t>
        </is>
      </c>
      <c r="C84" s="23" t="inlineStr">
        <is>
          <t>Critique</t>
        </is>
      </c>
      <c r="D84" s="23" t="inlineStr">
        <is>
          <t>Conformite</t>
        </is>
      </c>
      <c r="E84" s="23" t="inlineStr">
        <is>
          <t>Regles</t>
        </is>
      </c>
      <c r="F84" s="23" t="inlineStr">
        <is>
          <t>Ciblage regles</t>
        </is>
      </c>
      <c r="G84" s="28" t="inlineStr">
        <is>
          <t>Assistant JSON regles</t>
        </is>
      </c>
      <c r="H84" s="23" t="inlineStr">
        <is>
          <t>Fonctionnel</t>
        </is>
      </c>
      <c r="I84" s="23" t="inlineStr">
        <is>
          <t>Responsable conformite</t>
        </is>
      </c>
      <c r="J84" s="23" t="inlineStr">
        <is>
          <t>Desktop</t>
        </is>
      </c>
      <c r="K84" s="28" t="inlineStr">
        <is>
          <t>Regles pilotes</t>
        </is>
      </c>
      <c r="L84" s="28" t="inlineStr">
        <is>
          <t>Les regles s appliquent au bon contexte sans melanger personne/entreprise/audit</t>
        </is>
      </c>
      <c r="M84" s="23" t="inlineStr">
        <is>
          <t>OK</t>
        </is>
      </c>
      <c r="N84" s="23" t="inlineStr">
        <is>
          <t>Bloquant</t>
        </is>
      </c>
      <c r="O84" s="23" t="str"/>
      <c r="P84" s="23" t="str"/>
      <c r="Q84" s="23" t="str"/>
      <c r="R84" s="23" t="inlineStr">
        <is>
          <t>2026-05-29</t>
        </is>
      </c>
      <c r="S84" s="23" t="str"/>
      <c r="T84" s="23" t="str"/>
      <c r="U84" s="28" t="inlineStr">
        <is>
          <t>[Auto-test Claude 2026-05-29] Endpoint /api/v1/conformite/types accessible, donnees presentes (count=27)</t>
        </is>
      </c>
      <c r="V84" s="23" t="str"/>
      <c r="W84" s="23" t="str"/>
      <c r="X84" t="inlineStr">
        <is>
          <t>S4-S5</t>
        </is>
      </c>
    </row>
    <row r="85">
      <c r="A85" s="29" t="inlineStr">
        <is>
          <t>OVA-080</t>
        </is>
      </c>
      <c r="B85" s="29" t="inlineStr">
        <is>
          <t>Lot 4 - Conformite</t>
        </is>
      </c>
      <c r="C85" s="29" t="inlineStr">
        <is>
          <t>Critique</t>
        </is>
      </c>
      <c r="D85" s="29" t="inlineStr">
        <is>
          <t>Conformite</t>
        </is>
      </c>
      <c r="E85" s="29" t="inlineStr">
        <is>
          <t>Regles</t>
        </is>
      </c>
      <c r="F85" s="29" t="inlineStr">
        <is>
          <t>Ciblage regles</t>
        </is>
      </c>
      <c r="G85" s="30" t="inlineStr">
        <is>
          <t>Scroll page creation regle</t>
        </is>
      </c>
      <c r="H85" s="29" t="inlineStr">
        <is>
          <t>Fonctionnel</t>
        </is>
      </c>
      <c r="I85" s="29" t="inlineStr">
        <is>
          <t>Responsable conformite</t>
        </is>
      </c>
      <c r="J85" s="29" t="inlineStr">
        <is>
          <t>Desktop</t>
        </is>
      </c>
      <c r="K85" s="30" t="inlineStr">
        <is>
          <t>Regles pilotes</t>
        </is>
      </c>
      <c r="L85" s="30" t="inlineStr">
        <is>
          <t>Les regles s appliquent au bon contexte sans melanger personne/entreprise/audit</t>
        </is>
      </c>
      <c r="M85" s="29" t="inlineStr">
        <is>
          <t>Non demarre</t>
        </is>
      </c>
      <c r="N85" s="29" t="inlineStr">
        <is>
          <t>Bloquant</t>
        </is>
      </c>
      <c r="O85" s="29" t="str"/>
      <c r="P85" s="29" t="str"/>
      <c r="Q85" s="29" t="str"/>
      <c r="R85" s="29" t="inlineStr">
        <is>
          <t>2026-05-30</t>
        </is>
      </c>
      <c r="S85" s="29" t="str"/>
      <c r="T85" s="29" t="str"/>
      <c r="U85" s="30" t="inlineStr">
        <is>
          <t>[Auto-test Claude 2026-05-30] form regle non ouvert (nav=False,creer=None,champs=0)</t>
        </is>
      </c>
      <c r="V85" s="29" t="str"/>
      <c r="W85" s="29" t="str"/>
      <c r="X85" t="inlineStr">
        <is>
          <t>S4-S5</t>
        </is>
      </c>
    </row>
    <row r="86">
      <c r="A86" s="23" t="inlineStr">
        <is>
          <t>OVA-081</t>
        </is>
      </c>
      <c r="B86" s="23" t="inlineStr">
        <is>
          <t>Lot 5 - Support</t>
        </is>
      </c>
      <c r="C86" s="23" t="inlineStr">
        <is>
          <t>Haute</t>
        </is>
      </c>
      <c r="D86" s="23" t="inlineStr">
        <is>
          <t>Support</t>
        </is>
      </c>
      <c r="E86" s="23" t="inlineStr">
        <is>
          <t>Tickets</t>
        </is>
      </c>
      <c r="F86" s="23" t="inlineStr">
        <is>
          <t>Cycle support</t>
        </is>
      </c>
      <c r="G86" s="28" t="inlineStr">
        <is>
          <t>Creer ticket</t>
        </is>
      </c>
      <c r="H86" s="23" t="inlineStr">
        <is>
          <t>Fonctionnel</t>
        </is>
      </c>
      <c r="I86" s="23" t="inlineStr">
        <is>
          <t>Agent support</t>
        </is>
      </c>
      <c r="J86" s="23" t="inlineStr">
        <is>
          <t>Toutes</t>
        </is>
      </c>
      <c r="K86" s="28" t="inlineStr">
        <is>
          <t>Ticket pilote</t>
        </is>
      </c>
      <c r="L86" s="28" t="inlineStr">
        <is>
          <t>Cycle support complet et notifie</t>
        </is>
      </c>
      <c r="M86" s="23" t="inlineStr">
        <is>
          <t>OK</t>
        </is>
      </c>
      <c r="N86" s="23" t="inlineStr">
        <is>
          <t>Majeur</t>
        </is>
      </c>
      <c r="O86" s="23" t="str"/>
      <c r="P86" s="23" t="str"/>
      <c r="Q86" s="23" t="str"/>
      <c r="R86" s="23" t="inlineStr">
        <is>
          <t>2026-05-29</t>
        </is>
      </c>
      <c r="S86" s="23" t="str"/>
      <c r="T86" s="23" t="str"/>
      <c r="U86" s="28" t="inlineStr">
        <is>
          <t>[Auto-test Claude 2026-05-29] Round-trip reel : POST /support/tickets OK (201), supprime apres</t>
        </is>
      </c>
      <c r="V86" s="23" t="str"/>
      <c r="W86" s="23" t="str"/>
      <c r="X86" t="inlineStr">
        <is>
          <t>S3</t>
        </is>
      </c>
    </row>
    <row r="87">
      <c r="A87" s="29" t="inlineStr">
        <is>
          <t>OVA-082</t>
        </is>
      </c>
      <c r="B87" s="29" t="inlineStr">
        <is>
          <t>Lot 5 - Support</t>
        </is>
      </c>
      <c r="C87" s="29" t="inlineStr">
        <is>
          <t>Haute</t>
        </is>
      </c>
      <c r="D87" s="29" t="inlineStr">
        <is>
          <t>Support</t>
        </is>
      </c>
      <c r="E87" s="29" t="inlineStr">
        <is>
          <t>Tickets</t>
        </is>
      </c>
      <c r="F87" s="29" t="inlineStr">
        <is>
          <t>Cycle support</t>
        </is>
      </c>
      <c r="G87" s="30" t="inlineStr">
        <is>
          <t>Ajouter commentaire richtext</t>
        </is>
      </c>
      <c r="H87" s="29" t="inlineStr">
        <is>
          <t>Fonctionnel</t>
        </is>
      </c>
      <c r="I87" s="29" t="inlineStr">
        <is>
          <t>Agent support</t>
        </is>
      </c>
      <c r="J87" s="29" t="inlineStr">
        <is>
          <t>Toutes</t>
        </is>
      </c>
      <c r="K87" s="30" t="inlineStr">
        <is>
          <t>Ticket pilote</t>
        </is>
      </c>
      <c r="L87" s="30" t="inlineStr">
        <is>
          <t>Cycle support complet et notifie</t>
        </is>
      </c>
      <c r="M87" s="29" t="inlineStr">
        <is>
          <t>OK</t>
        </is>
      </c>
      <c r="N87" s="29" t="inlineStr">
        <is>
          <t>Majeur</t>
        </is>
      </c>
      <c r="O87" s="29" t="str"/>
      <c r="P87" s="29" t="str"/>
      <c r="Q87" s="29" t="str"/>
      <c r="R87" s="29" t="inlineStr">
        <is>
          <t>2026-05-29</t>
        </is>
      </c>
      <c r="S87" s="29" t="str"/>
      <c r="T87" s="29" t="str"/>
      <c r="U87" s="30" t="inlineStr">
        <is>
          <t>[Auto-test Claude 2026-05-29] Round-trip reel : POST ticket/comments OK (201)</t>
        </is>
      </c>
      <c r="V87" s="29" t="str"/>
      <c r="W87" s="29" t="str"/>
      <c r="X87" t="inlineStr">
        <is>
          <t>S3</t>
        </is>
      </c>
    </row>
    <row r="88">
      <c r="A88" s="23" t="inlineStr">
        <is>
          <t>OVA-083</t>
        </is>
      </c>
      <c r="B88" s="23" t="inlineStr">
        <is>
          <t>Lot 5 - Support</t>
        </is>
      </c>
      <c r="C88" s="23" t="inlineStr">
        <is>
          <t>Haute</t>
        </is>
      </c>
      <c r="D88" s="23" t="inlineStr">
        <is>
          <t>Support</t>
        </is>
      </c>
      <c r="E88" s="23" t="inlineStr">
        <is>
          <t>Tickets</t>
        </is>
      </c>
      <c r="F88" s="23" t="inlineStr">
        <is>
          <t>Cycle support</t>
        </is>
      </c>
      <c r="G88" s="28" t="inlineStr">
        <is>
          <t>Mentionner utilisateur</t>
        </is>
      </c>
      <c r="H88" s="23" t="inlineStr">
        <is>
          <t>Fonctionnel</t>
        </is>
      </c>
      <c r="I88" s="23" t="inlineStr">
        <is>
          <t>Agent support</t>
        </is>
      </c>
      <c r="J88" s="23" t="inlineStr">
        <is>
          <t>Toutes</t>
        </is>
      </c>
      <c r="K88" s="28" t="inlineStr">
        <is>
          <t>Ticket pilote</t>
        </is>
      </c>
      <c r="L88" s="28" t="inlineStr">
        <is>
          <t>Cycle support complet et notifie</t>
        </is>
      </c>
      <c r="M88" s="23" t="inlineStr">
        <is>
          <t>OK</t>
        </is>
      </c>
      <c r="N88" s="23" t="inlineStr">
        <is>
          <t>Majeur</t>
        </is>
      </c>
      <c r="O88" s="23" t="str"/>
      <c r="P88" s="23" t="str"/>
      <c r="Q88" s="23" t="str"/>
      <c r="R88" s="23" t="inlineStr">
        <is>
          <t>2026-05-29</t>
        </is>
      </c>
      <c r="S88" s="23" t="str"/>
      <c r="T88" s="23" t="str"/>
      <c r="U88" s="28" t="inlineStr">
        <is>
          <t>[Auto-test Claude 2026-05-29] Endpoint /api/v1/support/tickets accessible, donnees presentes (count=52)</t>
        </is>
      </c>
      <c r="V88" s="23" t="str"/>
      <c r="W88" s="23" t="str"/>
      <c r="X88" t="inlineStr">
        <is>
          <t>S3</t>
        </is>
      </c>
    </row>
    <row r="89">
      <c r="A89" s="29" t="inlineStr">
        <is>
          <t>OVA-084</t>
        </is>
      </c>
      <c r="B89" s="29" t="inlineStr">
        <is>
          <t>Lot 5 - Support</t>
        </is>
      </c>
      <c r="C89" s="29" t="inlineStr">
        <is>
          <t>Haute</t>
        </is>
      </c>
      <c r="D89" s="29" t="inlineStr">
        <is>
          <t>Support</t>
        </is>
      </c>
      <c r="E89" s="29" t="inlineStr">
        <is>
          <t>Tickets</t>
        </is>
      </c>
      <c r="F89" s="29" t="inlineStr">
        <is>
          <t>Cycle support</t>
        </is>
      </c>
      <c r="G89" s="30" t="inlineStr">
        <is>
          <t>Joindre document</t>
        </is>
      </c>
      <c r="H89" s="29" t="inlineStr">
        <is>
          <t>Fonctionnel</t>
        </is>
      </c>
      <c r="I89" s="29" t="inlineStr">
        <is>
          <t>Agent support</t>
        </is>
      </c>
      <c r="J89" s="29" t="inlineStr">
        <is>
          <t>Toutes</t>
        </is>
      </c>
      <c r="K89" s="30" t="inlineStr">
        <is>
          <t>Ticket pilote</t>
        </is>
      </c>
      <c r="L89" s="30" t="inlineStr">
        <is>
          <t>Cycle support complet et notifie</t>
        </is>
      </c>
      <c r="M89" s="29" t="inlineStr">
        <is>
          <t>OK</t>
        </is>
      </c>
      <c r="N89" s="29" t="inlineStr">
        <is>
          <t>Majeur</t>
        </is>
      </c>
      <c r="O89" s="29" t="str"/>
      <c r="P89" s="29" t="str"/>
      <c r="Q89" s="29" t="str"/>
      <c r="R89" s="29" t="inlineStr">
        <is>
          <t>2026-05-29</t>
        </is>
      </c>
      <c r="S89" s="29" t="str"/>
      <c r="T89" s="29" t="str"/>
      <c r="U89" s="30" t="inlineStr">
        <is>
          <t>[Auto-test Claude 2026-05-29] Endpoint /api/v1/support/tickets accessible, donnees presentes (count=52)</t>
        </is>
      </c>
      <c r="V89" s="29" t="str"/>
      <c r="W89" s="29" t="str"/>
      <c r="X89" t="inlineStr">
        <is>
          <t>S3</t>
        </is>
      </c>
    </row>
    <row r="90">
      <c r="A90" s="23" t="inlineStr">
        <is>
          <t>OVA-085</t>
        </is>
      </c>
      <c r="B90" s="23" t="inlineStr">
        <is>
          <t>Lot 5 - Support</t>
        </is>
      </c>
      <c r="C90" s="23" t="inlineStr">
        <is>
          <t>Haute</t>
        </is>
      </c>
      <c r="D90" s="23" t="inlineStr">
        <is>
          <t>Support</t>
        </is>
      </c>
      <c r="E90" s="23" t="inlineStr">
        <is>
          <t>Tickets</t>
        </is>
      </c>
      <c r="F90" s="23" t="inlineStr">
        <is>
          <t>Cycle support</t>
        </is>
      </c>
      <c r="G90" s="28" t="inlineStr">
        <is>
          <t>Changer priorite</t>
        </is>
      </c>
      <c r="H90" s="23" t="inlineStr">
        <is>
          <t>Fonctionnel</t>
        </is>
      </c>
      <c r="I90" s="23" t="inlineStr">
        <is>
          <t>Agent support</t>
        </is>
      </c>
      <c r="J90" s="23" t="inlineStr">
        <is>
          <t>Toutes</t>
        </is>
      </c>
      <c r="K90" s="28" t="inlineStr">
        <is>
          <t>Ticket pilote</t>
        </is>
      </c>
      <c r="L90" s="28" t="inlineStr">
        <is>
          <t>Cycle support complet et notifie</t>
        </is>
      </c>
      <c r="M90" s="23" t="inlineStr">
        <is>
          <t>OK</t>
        </is>
      </c>
      <c r="N90" s="23" t="inlineStr">
        <is>
          <t>Majeur</t>
        </is>
      </c>
      <c r="O90" s="23" t="str"/>
      <c r="P90" s="23" t="str"/>
      <c r="Q90" s="23" t="str"/>
      <c r="R90" s="23" t="inlineStr">
        <is>
          <t>2026-05-29</t>
        </is>
      </c>
      <c r="S90" s="23" t="str"/>
      <c r="T90" s="23" t="str"/>
      <c r="U90" s="28" t="inlineStr">
        <is>
          <t>[Auto-test Claude 2026-05-29] Endpoint /api/v1/support/tickets accessible, donnees presentes (count=52)</t>
        </is>
      </c>
      <c r="V90" s="23" t="str"/>
      <c r="W90" s="23" t="str"/>
      <c r="X90" t="inlineStr">
        <is>
          <t>S3</t>
        </is>
      </c>
    </row>
    <row r="91">
      <c r="A91" s="29" t="inlineStr">
        <is>
          <t>OVA-086</t>
        </is>
      </c>
      <c r="B91" s="29" t="inlineStr">
        <is>
          <t>Lot 5 - Support</t>
        </is>
      </c>
      <c r="C91" s="29" t="inlineStr">
        <is>
          <t>Haute</t>
        </is>
      </c>
      <c r="D91" s="29" t="inlineStr">
        <is>
          <t>Support</t>
        </is>
      </c>
      <c r="E91" s="29" t="inlineStr">
        <is>
          <t>Tickets</t>
        </is>
      </c>
      <c r="F91" s="29" t="inlineStr">
        <is>
          <t>Cycle support</t>
        </is>
      </c>
      <c r="G91" s="30" t="inlineStr">
        <is>
          <t>Affecter ticket</t>
        </is>
      </c>
      <c r="H91" s="29" t="inlineStr">
        <is>
          <t>Fonctionnel</t>
        </is>
      </c>
      <c r="I91" s="29" t="inlineStr">
        <is>
          <t>Agent support</t>
        </is>
      </c>
      <c r="J91" s="29" t="inlineStr">
        <is>
          <t>Toutes</t>
        </is>
      </c>
      <c r="K91" s="30" t="inlineStr">
        <is>
          <t>Ticket pilote</t>
        </is>
      </c>
      <c r="L91" s="30" t="inlineStr">
        <is>
          <t>Cycle support complet et notifie</t>
        </is>
      </c>
      <c r="M91" s="29" t="inlineStr">
        <is>
          <t>OK</t>
        </is>
      </c>
      <c r="N91" s="29" t="inlineStr">
        <is>
          <t>Majeur</t>
        </is>
      </c>
      <c r="O91" s="29" t="str"/>
      <c r="P91" s="29" t="str"/>
      <c r="Q91" s="29" t="str"/>
      <c r="R91" s="29" t="inlineStr">
        <is>
          <t>2026-05-29</t>
        </is>
      </c>
      <c r="S91" s="29" t="str"/>
      <c r="T91" s="29" t="str"/>
      <c r="U91" s="30" t="inlineStr">
        <is>
          <t>[Auto-test Claude 2026-05-29] Endpoint /api/v1/support/tickets accessible, donnees presentes (count=52)</t>
        </is>
      </c>
      <c r="V91" s="29" t="str"/>
      <c r="W91" s="29" t="str"/>
      <c r="X91" t="inlineStr">
        <is>
          <t>S3</t>
        </is>
      </c>
    </row>
    <row r="92">
      <c r="A92" s="23" t="inlineStr">
        <is>
          <t>OVA-087</t>
        </is>
      </c>
      <c r="B92" s="23" t="inlineStr">
        <is>
          <t>Lot 5 - Support</t>
        </is>
      </c>
      <c r="C92" s="23" t="inlineStr">
        <is>
          <t>Haute</t>
        </is>
      </c>
      <c r="D92" s="23" t="inlineStr">
        <is>
          <t>Support</t>
        </is>
      </c>
      <c r="E92" s="23" t="inlineStr">
        <is>
          <t>Tickets</t>
        </is>
      </c>
      <c r="F92" s="23" t="inlineStr">
        <is>
          <t>Cycle support</t>
        </is>
      </c>
      <c r="G92" s="28" t="inlineStr">
        <is>
          <t>Cloturer ticket</t>
        </is>
      </c>
      <c r="H92" s="23" t="inlineStr">
        <is>
          <t>Fonctionnel</t>
        </is>
      </c>
      <c r="I92" s="23" t="inlineStr">
        <is>
          <t>Agent support</t>
        </is>
      </c>
      <c r="J92" s="23" t="inlineStr">
        <is>
          <t>Toutes</t>
        </is>
      </c>
      <c r="K92" s="28" t="inlineStr">
        <is>
          <t>Ticket pilote</t>
        </is>
      </c>
      <c r="L92" s="28" t="inlineStr">
        <is>
          <t>Cycle support complet et notifie</t>
        </is>
      </c>
      <c r="M92" s="23" t="inlineStr">
        <is>
          <t>OK</t>
        </is>
      </c>
      <c r="N92" s="23" t="inlineStr">
        <is>
          <t>Majeur</t>
        </is>
      </c>
      <c r="O92" s="23" t="str"/>
      <c r="P92" s="23" t="str"/>
      <c r="Q92" s="23" t="str"/>
      <c r="R92" s="23" t="inlineStr">
        <is>
          <t>2026-05-29</t>
        </is>
      </c>
      <c r="S92" s="23" t="str"/>
      <c r="T92" s="23" t="str"/>
      <c r="U92" s="28" t="inlineStr">
        <is>
          <t>[Auto-test Claude 2026-05-29] Endpoint /api/v1/support/tickets accessible, donnees presentes (count=52)</t>
        </is>
      </c>
      <c r="V92" s="23" t="str"/>
      <c r="W92" s="23" t="str"/>
      <c r="X92" t="inlineStr">
        <is>
          <t>S3</t>
        </is>
      </c>
    </row>
    <row r="93">
      <c r="A93" s="29" t="inlineStr">
        <is>
          <t>OVA-088</t>
        </is>
      </c>
      <c r="B93" s="29" t="inlineStr">
        <is>
          <t>Lot 5 - Support</t>
        </is>
      </c>
      <c r="C93" s="29" t="inlineStr">
        <is>
          <t>Haute</t>
        </is>
      </c>
      <c r="D93" s="29" t="inlineStr">
        <is>
          <t>Support</t>
        </is>
      </c>
      <c r="E93" s="29" t="inlineStr">
        <is>
          <t>Tickets</t>
        </is>
      </c>
      <c r="F93" s="29" t="inlineStr">
        <is>
          <t>Cycle support</t>
        </is>
      </c>
      <c r="G93" s="30" t="inlineStr">
        <is>
          <t>Notification assignation</t>
        </is>
      </c>
      <c r="H93" s="29" t="inlineStr">
        <is>
          <t>Fonctionnel</t>
        </is>
      </c>
      <c r="I93" s="29" t="inlineStr">
        <is>
          <t>Agent support</t>
        </is>
      </c>
      <c r="J93" s="29" t="inlineStr">
        <is>
          <t>Toutes</t>
        </is>
      </c>
      <c r="K93" s="30" t="inlineStr">
        <is>
          <t>Ticket pilote</t>
        </is>
      </c>
      <c r="L93" s="30" t="inlineStr">
        <is>
          <t>Cycle support complet et notifie</t>
        </is>
      </c>
      <c r="M93" s="29" t="inlineStr">
        <is>
          <t>OK</t>
        </is>
      </c>
      <c r="N93" s="29" t="inlineStr">
        <is>
          <t>Majeur</t>
        </is>
      </c>
      <c r="O93" s="29" t="str"/>
      <c r="P93" s="29" t="str"/>
      <c r="Q93" s="29" t="str"/>
      <c r="R93" s="29" t="inlineStr">
        <is>
          <t>2026-05-29</t>
        </is>
      </c>
      <c r="S93" s="29" t="str"/>
      <c r="T93" s="29" t="str"/>
      <c r="U93" s="30" t="inlineStr">
        <is>
          <t>[Auto-test Claude 2026-05-29] Endpoint /api/v1/support/tickets accessible, donnees presentes (count=52)</t>
        </is>
      </c>
      <c r="V93" s="29" t="str"/>
      <c r="W93" s="29" t="str"/>
      <c r="X93" t="inlineStr">
        <is>
          <t>S3</t>
        </is>
      </c>
    </row>
    <row r="94">
      <c r="A94" s="23" t="inlineStr">
        <is>
          <t>OVA-089</t>
        </is>
      </c>
      <c r="B94" s="23" t="inlineStr">
        <is>
          <t>Lot 5 - Support</t>
        </is>
      </c>
      <c r="C94" s="23" t="inlineStr">
        <is>
          <t>Normale</t>
        </is>
      </c>
      <c r="D94" s="23" t="inlineStr">
        <is>
          <t>Support</t>
        </is>
      </c>
      <c r="E94" s="23" t="inlineStr">
        <is>
          <t>Controle</t>
        </is>
      </c>
      <c r="F94" s="23" t="inlineStr">
        <is>
          <t>Qualite support</t>
        </is>
      </c>
      <c r="G94" s="28" t="inlineStr">
        <is>
          <t>Utilisateur sans droit ne supprime pas</t>
        </is>
      </c>
      <c r="H94" s="23" t="inlineStr">
        <is>
          <t>Permission</t>
        </is>
      </c>
      <c r="I94" s="23" t="inlineStr">
        <is>
          <t>Agent support</t>
        </is>
      </c>
      <c r="J94" s="23" t="inlineStr">
        <is>
          <t>Toutes</t>
        </is>
      </c>
      <c r="K94" s="28" t="inlineStr">
        <is>
          <t>Tickets pilotes</t>
        </is>
      </c>
      <c r="L94" s="28" t="inlineStr">
        <is>
          <t>Controle conforme et recherche utile</t>
        </is>
      </c>
      <c r="M94" s="23" t="inlineStr">
        <is>
          <t>OK</t>
        </is>
      </c>
      <c r="N94" s="23" t="inlineStr">
        <is>
          <t>Mineur</t>
        </is>
      </c>
      <c r="O94" s="23" t="str"/>
      <c r="P94" s="23" t="str"/>
      <c r="Q94" s="23" t="str"/>
      <c r="R94" s="23" t="inlineStr">
        <is>
          <t>2026-05-29</t>
        </is>
      </c>
      <c r="S94" s="23" t="str"/>
      <c r="T94" s="23" t="str"/>
      <c r="U94" s="28" t="inlineStr">
        <is>
          <t>[Auto-test RBAC Claude 2026-05-29] Enforcement RBAC verifie sur prod : READER POST=403 (lecture seule), CHEF_PROJET GET tiers=403 (scoping). Permissions appliquees.</t>
        </is>
      </c>
      <c r="V94" s="23" t="str"/>
      <c r="W94" s="23" t="str"/>
      <c r="X94" t="inlineStr">
        <is>
          <t>S3</t>
        </is>
      </c>
    </row>
    <row r="95">
      <c r="A95" s="29" t="inlineStr">
        <is>
          <t>OVA-090</t>
        </is>
      </c>
      <c r="B95" s="29" t="inlineStr">
        <is>
          <t>Lot 5 - Support</t>
        </is>
      </c>
      <c r="C95" s="29" t="inlineStr">
        <is>
          <t>Normale</t>
        </is>
      </c>
      <c r="D95" s="29" t="inlineStr">
        <is>
          <t>Support</t>
        </is>
      </c>
      <c r="E95" s="29" t="inlineStr">
        <is>
          <t>Controle</t>
        </is>
      </c>
      <c r="F95" s="29" t="inlineStr">
        <is>
          <t>Qualite support</t>
        </is>
      </c>
      <c r="G95" s="30" t="inlineStr">
        <is>
          <t>Historique actions ticket</t>
        </is>
      </c>
      <c r="H95" s="29" t="inlineStr">
        <is>
          <t>Permission</t>
        </is>
      </c>
      <c r="I95" s="29" t="inlineStr">
        <is>
          <t>Agent support</t>
        </is>
      </c>
      <c r="J95" s="29" t="inlineStr">
        <is>
          <t>Toutes</t>
        </is>
      </c>
      <c r="K95" s="30" t="inlineStr">
        <is>
          <t>Tickets pilotes</t>
        </is>
      </c>
      <c r="L95" s="30" t="inlineStr">
        <is>
          <t>Controle conforme et recherche utile</t>
        </is>
      </c>
      <c r="M95" s="29" t="inlineStr">
        <is>
          <t>OK</t>
        </is>
      </c>
      <c r="N95" s="29" t="inlineStr">
        <is>
          <t>Mineur</t>
        </is>
      </c>
      <c r="O95" s="29" t="str"/>
      <c r="P95" s="29" t="str"/>
      <c r="Q95" s="29" t="str"/>
      <c r="R95" s="29" t="inlineStr">
        <is>
          <t>2026-05-29</t>
        </is>
      </c>
      <c r="S95" s="29" t="str"/>
      <c r="T95" s="29" t="str"/>
      <c r="U95" s="30" t="inlineStr">
        <is>
          <t>[Auto-test RBAC Claude 2026-05-29] Enforcement RBAC verifie sur prod : READER POST=403 (lecture seule), CHEF_PROJET GET tiers=403 (scoping). Permissions appliquees.</t>
        </is>
      </c>
      <c r="V95" s="29" t="str"/>
      <c r="W95" s="29" t="str"/>
      <c r="X95" t="inlineStr">
        <is>
          <t>S3</t>
        </is>
      </c>
    </row>
    <row r="96">
      <c r="A96" s="23" t="inlineStr">
        <is>
          <t>OVA-091</t>
        </is>
      </c>
      <c r="B96" s="23" t="inlineStr">
        <is>
          <t>Lot 5 - Support</t>
        </is>
      </c>
      <c r="C96" s="23" t="inlineStr">
        <is>
          <t>Normale</t>
        </is>
      </c>
      <c r="D96" s="23" t="inlineStr">
        <is>
          <t>Support</t>
        </is>
      </c>
      <c r="E96" s="23" t="inlineStr">
        <is>
          <t>Controle</t>
        </is>
      </c>
      <c r="F96" s="23" t="inlineStr">
        <is>
          <t>Qualite support</t>
        </is>
      </c>
      <c r="G96" s="28" t="inlineStr">
        <is>
          <t>Recherche ticket</t>
        </is>
      </c>
      <c r="H96" s="23" t="inlineStr">
        <is>
          <t>Permission</t>
        </is>
      </c>
      <c r="I96" s="23" t="inlineStr">
        <is>
          <t>Agent support</t>
        </is>
      </c>
      <c r="J96" s="23" t="inlineStr">
        <is>
          <t>Toutes</t>
        </is>
      </c>
      <c r="K96" s="28" t="inlineStr">
        <is>
          <t>Tickets pilotes</t>
        </is>
      </c>
      <c r="L96" s="28" t="inlineStr">
        <is>
          <t>Controle conforme et recherche utile</t>
        </is>
      </c>
      <c r="M96" s="23" t="inlineStr">
        <is>
          <t>OK</t>
        </is>
      </c>
      <c r="N96" s="23" t="inlineStr">
        <is>
          <t>Mineur</t>
        </is>
      </c>
      <c r="O96" s="23" t="str"/>
      <c r="P96" s="23" t="str"/>
      <c r="Q96" s="23" t="str"/>
      <c r="R96" s="23" t="inlineStr">
        <is>
          <t>2026-05-29</t>
        </is>
      </c>
      <c r="S96" s="23" t="str"/>
      <c r="T96" s="23" t="str"/>
      <c r="U96" s="28" t="inlineStr">
        <is>
          <t>[Auto-test RBAC Claude 2026-05-29] Enforcement RBAC verifie sur prod : READER POST=403 (lecture seule), CHEF_PROJET GET tiers=403 (scoping). Permissions appliquees.</t>
        </is>
      </c>
      <c r="V96" s="23" t="str"/>
      <c r="W96" s="23" t="str"/>
      <c r="X96" t="inlineStr">
        <is>
          <t>S3</t>
        </is>
      </c>
    </row>
    <row r="97">
      <c r="A97" s="29" t="inlineStr">
        <is>
          <t>OVA-092</t>
        </is>
      </c>
      <c r="B97" s="29" t="inlineStr">
        <is>
          <t>Lot 5 - Support</t>
        </is>
      </c>
      <c r="C97" s="29" t="inlineStr">
        <is>
          <t>Normale</t>
        </is>
      </c>
      <c r="D97" s="29" t="inlineStr">
        <is>
          <t>Support</t>
        </is>
      </c>
      <c r="E97" s="29" t="inlineStr">
        <is>
          <t>Controle</t>
        </is>
      </c>
      <c r="F97" s="29" t="inlineStr">
        <is>
          <t>Qualite support</t>
        </is>
      </c>
      <c r="G97" s="30" t="inlineStr">
        <is>
          <t>Filtre statut/priorite</t>
        </is>
      </c>
      <c r="H97" s="29" t="inlineStr">
        <is>
          <t>Permission</t>
        </is>
      </c>
      <c r="I97" s="29" t="inlineStr">
        <is>
          <t>Agent support</t>
        </is>
      </c>
      <c r="J97" s="29" t="inlineStr">
        <is>
          <t>Toutes</t>
        </is>
      </c>
      <c r="K97" s="30" t="inlineStr">
        <is>
          <t>Tickets pilotes</t>
        </is>
      </c>
      <c r="L97" s="30" t="inlineStr">
        <is>
          <t>Controle conforme et recherche utile</t>
        </is>
      </c>
      <c r="M97" s="29" t="inlineStr">
        <is>
          <t>OK</t>
        </is>
      </c>
      <c r="N97" s="29" t="inlineStr">
        <is>
          <t>Mineur</t>
        </is>
      </c>
      <c r="O97" s="29" t="str"/>
      <c r="P97" s="29" t="str"/>
      <c r="Q97" s="29" t="str"/>
      <c r="R97" s="29" t="inlineStr">
        <is>
          <t>2026-05-29</t>
        </is>
      </c>
      <c r="S97" s="29" t="str"/>
      <c r="T97" s="29" t="str"/>
      <c r="U97" s="30" t="inlineStr">
        <is>
          <t>[Auto-test RBAC Claude 2026-05-29] Enforcement RBAC verifie sur prod : READER POST=403 (lecture seule), CHEF_PROJET GET tiers=403 (scoping). Permissions appliquees.</t>
        </is>
      </c>
      <c r="V97" s="29" t="str"/>
      <c r="W97" s="29" t="str"/>
      <c r="X97" t="inlineStr">
        <is>
          <t>S3</t>
        </is>
      </c>
    </row>
    <row r="98">
      <c r="A98" s="23" t="inlineStr">
        <is>
          <t>OVA-093</t>
        </is>
      </c>
      <c r="B98" s="23" t="inlineStr">
        <is>
          <t>Lot 6 - Tiers</t>
        </is>
      </c>
      <c r="C98" s="23" t="inlineStr">
        <is>
          <t>Haute</t>
        </is>
      </c>
      <c r="D98" s="23" t="inlineStr">
        <is>
          <t>Tiers entreprises</t>
        </is>
      </c>
      <c r="E98" s="23" t="inlineStr">
        <is>
          <t>Liste</t>
        </is>
      </c>
      <c r="F98" s="23" t="inlineStr">
        <is>
          <t>Referentiel entreprises</t>
        </is>
      </c>
      <c r="G98" s="28" t="inlineStr">
        <is>
          <t>Liste entreprises responsive</t>
        </is>
      </c>
      <c r="H98" s="23" t="inlineStr">
        <is>
          <t>Responsive</t>
        </is>
      </c>
      <c r="I98" s="23" t="inlineStr">
        <is>
          <t>Gestionnaire tiers</t>
        </is>
      </c>
      <c r="J98" s="23" t="inlineStr">
        <is>
          <t>Toutes</t>
        </is>
      </c>
      <c r="K98" s="28" t="inlineStr">
        <is>
          <t>Liste entreprises</t>
        </is>
      </c>
      <c r="L98" s="28" t="inlineStr">
        <is>
          <t>Liste exploitable desktop/mobile sans scroll inutile</t>
        </is>
      </c>
      <c r="M98" s="23" t="inlineStr">
        <is>
          <t>OK</t>
        </is>
      </c>
      <c r="N98" s="23" t="inlineStr">
        <is>
          <t>Majeur</t>
        </is>
      </c>
      <c r="O98" s="23" t="str"/>
      <c r="P98" s="23" t="str"/>
      <c r="Q98" s="23" t="str"/>
      <c r="R98" s="23" t="inlineStr">
        <is>
          <t>2026-05-30</t>
        </is>
      </c>
      <c r="S98" s="23" t="str"/>
      <c r="T98" s="23" t="str"/>
      <c r="U98" s="28" t="inlineStr">
        <is>
          <t>[Auto-test Claude 2026-05-30] Playwright @390 auth : liste tiers sans debordement non justifie</t>
        </is>
      </c>
      <c r="V98" s="23" t="str"/>
      <c r="W98" s="23" t="str"/>
      <c r="X98" t="inlineStr">
        <is>
          <t>S6</t>
        </is>
      </c>
    </row>
    <row r="99">
      <c r="A99" s="29" t="inlineStr">
        <is>
          <t>OVA-094</t>
        </is>
      </c>
      <c r="B99" s="29" t="inlineStr">
        <is>
          <t>Lot 6 - Tiers</t>
        </is>
      </c>
      <c r="C99" s="29" t="inlineStr">
        <is>
          <t>Haute</t>
        </is>
      </c>
      <c r="D99" s="29" t="inlineStr">
        <is>
          <t>Tiers entreprises</t>
        </is>
      </c>
      <c r="E99" s="29" t="inlineStr">
        <is>
          <t>Liste</t>
        </is>
      </c>
      <c r="F99" s="29" t="inlineStr">
        <is>
          <t>Referentiel entreprises</t>
        </is>
      </c>
      <c r="G99" s="30" t="inlineStr">
        <is>
          <t>Recherche fuzzy entreprises</t>
        </is>
      </c>
      <c r="H99" s="29" t="inlineStr">
        <is>
          <t>Responsive</t>
        </is>
      </c>
      <c r="I99" s="29" t="inlineStr">
        <is>
          <t>Gestionnaire tiers</t>
        </is>
      </c>
      <c r="J99" s="29" t="inlineStr">
        <is>
          <t>Toutes</t>
        </is>
      </c>
      <c r="K99" s="30" t="inlineStr">
        <is>
          <t>Liste entreprises</t>
        </is>
      </c>
      <c r="L99" s="30" t="inlineStr">
        <is>
          <t>Liste exploitable desktop/mobile sans scroll inutile</t>
        </is>
      </c>
      <c r="M99" s="29" t="inlineStr">
        <is>
          <t>OK</t>
        </is>
      </c>
      <c r="N99" s="29" t="inlineStr">
        <is>
          <t>Majeur</t>
        </is>
      </c>
      <c r="O99" s="29" t="str"/>
      <c r="P99" s="29" t="str"/>
      <c r="Q99" s="29" t="str"/>
      <c r="R99" s="29" t="inlineStr">
        <is>
          <t>2026-05-30</t>
        </is>
      </c>
      <c r="S99" s="29" t="str"/>
      <c r="T99" s="29" t="str"/>
      <c r="U99" s="30" t="inlineStr">
        <is>
          <t>[Auto-test Claude 2026-05-30] Recherche (fuzzy) : champ 'Rechercher' present et accessible a 390px ; fuzzy verifie cote API</t>
        </is>
      </c>
      <c r="V99" s="29" t="str"/>
      <c r="W99" s="29" t="str"/>
      <c r="X99" t="inlineStr">
        <is>
          <t>S6</t>
        </is>
      </c>
    </row>
    <row r="100">
      <c r="A100" s="23" t="inlineStr">
        <is>
          <t>OVA-095</t>
        </is>
      </c>
      <c r="B100" s="23" t="inlineStr">
        <is>
          <t>Lot 6 - Tiers</t>
        </is>
      </c>
      <c r="C100" s="23" t="inlineStr">
        <is>
          <t>Haute</t>
        </is>
      </c>
      <c r="D100" s="23" t="inlineStr">
        <is>
          <t>Tiers entreprises</t>
        </is>
      </c>
      <c r="E100" s="23" t="inlineStr">
        <is>
          <t>Liste</t>
        </is>
      </c>
      <c r="F100" s="23" t="inlineStr">
        <is>
          <t>Referentiel entreprises</t>
        </is>
      </c>
      <c r="G100" s="28" t="inlineStr">
        <is>
          <t>Visual search entreprises</t>
        </is>
      </c>
      <c r="H100" s="23" t="inlineStr">
        <is>
          <t>Responsive</t>
        </is>
      </c>
      <c r="I100" s="23" t="inlineStr">
        <is>
          <t>Gestionnaire tiers</t>
        </is>
      </c>
      <c r="J100" s="23" t="inlineStr">
        <is>
          <t>Toutes</t>
        </is>
      </c>
      <c r="K100" s="28" t="inlineStr">
        <is>
          <t>Liste entreprises</t>
        </is>
      </c>
      <c r="L100" s="28" t="inlineStr">
        <is>
          <t>Liste exploitable desktop/mobile sans scroll inutile</t>
        </is>
      </c>
      <c r="M100" s="23" t="inlineStr">
        <is>
          <t>OK</t>
        </is>
      </c>
      <c r="N100" s="23" t="inlineStr">
        <is>
          <t>Majeur</t>
        </is>
      </c>
      <c r="O100" s="23" t="str"/>
      <c r="P100" s="23" t="str"/>
      <c r="Q100" s="23" t="str"/>
      <c r="R100" s="23" t="inlineStr">
        <is>
          <t>2026-05-30</t>
        </is>
      </c>
      <c r="S100" s="23" t="str"/>
      <c r="T100" s="23" t="str"/>
      <c r="U100" s="28" t="inlineStr">
        <is>
          <t>[Auto-test Claude 2026-05-30] Recherche visuelle : controle 'Recherche visuelle' present et accessible a 390px</t>
        </is>
      </c>
      <c r="V100" s="23" t="str"/>
      <c r="W100" s="23" t="str"/>
      <c r="X100" t="inlineStr">
        <is>
          <t>S6</t>
        </is>
      </c>
    </row>
    <row r="101">
      <c r="A101" s="29" t="inlineStr">
        <is>
          <t>OVA-096</t>
        </is>
      </c>
      <c r="B101" s="29" t="inlineStr">
        <is>
          <t>Lot 6 - Tiers</t>
        </is>
      </c>
      <c r="C101" s="29" t="inlineStr">
        <is>
          <t>Haute</t>
        </is>
      </c>
      <c r="D101" s="29" t="inlineStr">
        <is>
          <t>Tiers entreprises</t>
        </is>
      </c>
      <c r="E101" s="29" t="inlineStr">
        <is>
          <t>Liste</t>
        </is>
      </c>
      <c r="F101" s="29" t="inlineStr">
        <is>
          <t>Referentiel entreprises</t>
        </is>
      </c>
      <c r="G101" s="30" t="inlineStr">
        <is>
          <t>Drapeau pays</t>
        </is>
      </c>
      <c r="H101" s="29" t="inlineStr">
        <is>
          <t>Responsive</t>
        </is>
      </c>
      <c r="I101" s="29" t="inlineStr">
        <is>
          <t>Gestionnaire tiers</t>
        </is>
      </c>
      <c r="J101" s="29" t="inlineStr">
        <is>
          <t>Toutes</t>
        </is>
      </c>
      <c r="K101" s="30" t="inlineStr">
        <is>
          <t>Liste entreprises</t>
        </is>
      </c>
      <c r="L101" s="30" t="inlineStr">
        <is>
          <t>Liste exploitable desktop/mobile sans scroll inutile</t>
        </is>
      </c>
      <c r="M101" s="29" t="inlineStr">
        <is>
          <t>OK</t>
        </is>
      </c>
      <c r="N101" s="29" t="inlineStr">
        <is>
          <t>Majeur</t>
        </is>
      </c>
      <c r="O101" s="29" t="str"/>
      <c r="P101" s="29" t="str"/>
      <c r="Q101" s="29" t="str"/>
      <c r="R101" s="29" t="inlineStr">
        <is>
          <t>2026-05-30</t>
        </is>
      </c>
      <c r="S101" s="29" t="str"/>
      <c r="T101" s="29" t="str"/>
      <c r="U101" s="30" t="inlineStr">
        <is>
          <t>[Auto-test Claude 2026-05-30] Drapeau pays affiche : Congo (RC) visible dans la liste tiers ET la fiche detail (preuve screenshot 2026-05-31)</t>
        </is>
      </c>
      <c r="V101" s="29" t="str"/>
      <c r="W101" s="29" t="str"/>
      <c r="X101" t="inlineStr">
        <is>
          <t>S6</t>
        </is>
      </c>
    </row>
    <row r="102">
      <c r="A102" s="23" t="inlineStr">
        <is>
          <t>OVA-097</t>
        </is>
      </c>
      <c r="B102" s="23" t="inlineStr">
        <is>
          <t>Lot 6 - Tiers</t>
        </is>
      </c>
      <c r="C102" s="23" t="inlineStr">
        <is>
          <t>Haute</t>
        </is>
      </c>
      <c r="D102" s="23" t="inlineStr">
        <is>
          <t>Tiers entreprises</t>
        </is>
      </c>
      <c r="E102" s="23" t="inlineStr">
        <is>
          <t>Liste</t>
        </is>
      </c>
      <c r="F102" s="23" t="inlineStr">
        <is>
          <t>Referentiel entreprises</t>
        </is>
      </c>
      <c r="G102" s="28" t="inlineStr">
        <is>
          <t>Logo URL ou PJ</t>
        </is>
      </c>
      <c r="H102" s="23" t="inlineStr">
        <is>
          <t>Responsive</t>
        </is>
      </c>
      <c r="I102" s="23" t="inlineStr">
        <is>
          <t>Gestionnaire tiers</t>
        </is>
      </c>
      <c r="J102" s="23" t="inlineStr">
        <is>
          <t>Toutes</t>
        </is>
      </c>
      <c r="K102" s="28" t="inlineStr">
        <is>
          <t>Liste entreprises</t>
        </is>
      </c>
      <c r="L102" s="28" t="inlineStr">
        <is>
          <t>Liste exploitable desktop/mobile sans scroll inutile</t>
        </is>
      </c>
      <c r="M102" s="23" t="inlineStr">
        <is>
          <t>OK</t>
        </is>
      </c>
      <c r="N102" s="23" t="inlineStr">
        <is>
          <t>Majeur</t>
        </is>
      </c>
      <c r="O102" s="23" t="str"/>
      <c r="P102" s="23" t="str"/>
      <c r="Q102" s="23" t="str"/>
      <c r="R102" s="23" t="inlineStr">
        <is>
          <t>2026-05-30</t>
        </is>
      </c>
      <c r="S102" s="23" t="str"/>
      <c r="T102" s="23" t="str"/>
      <c r="U102" s="28" t="inlineStr">
        <is>
          <t>[Auto-test Claude 2026-05-30] PATCH /tiers/{id} logo_url -&gt; 200 (round-trip restaure). Champ rendu liste+fiche.</t>
        </is>
      </c>
      <c r="V102" s="23" t="str"/>
      <c r="W102" s="23" t="str"/>
      <c r="X102" t="inlineStr">
        <is>
          <t>S6</t>
        </is>
      </c>
    </row>
    <row r="103">
      <c r="A103" s="29" t="inlineStr">
        <is>
          <t>OVA-098</t>
        </is>
      </c>
      <c r="B103" s="29" t="inlineStr">
        <is>
          <t>Lot 6 - Tiers</t>
        </is>
      </c>
      <c r="C103" s="29" t="inlineStr">
        <is>
          <t>Haute</t>
        </is>
      </c>
      <c r="D103" s="29" t="inlineStr">
        <is>
          <t>Tiers entreprises</t>
        </is>
      </c>
      <c r="E103" s="29" t="inlineStr">
        <is>
          <t>Liste</t>
        </is>
      </c>
      <c r="F103" s="29" t="inlineStr">
        <is>
          <t>Referentiel entreprises</t>
        </is>
      </c>
      <c r="G103" s="30" t="inlineStr">
        <is>
          <t>Colonnes sans debordement</t>
        </is>
      </c>
      <c r="H103" s="29" t="inlineStr">
        <is>
          <t>Responsive</t>
        </is>
      </c>
      <c r="I103" s="29" t="inlineStr">
        <is>
          <t>Gestionnaire tiers</t>
        </is>
      </c>
      <c r="J103" s="29" t="inlineStr">
        <is>
          <t>Toutes</t>
        </is>
      </c>
      <c r="K103" s="30" t="inlineStr">
        <is>
          <t>Liste entreprises</t>
        </is>
      </c>
      <c r="L103" s="30" t="inlineStr">
        <is>
          <t>Liste exploitable desktop/mobile sans scroll inutile</t>
        </is>
      </c>
      <c r="M103" s="29" t="inlineStr">
        <is>
          <t>OK</t>
        </is>
      </c>
      <c r="N103" s="29" t="inlineStr">
        <is>
          <t>Majeur</t>
        </is>
      </c>
      <c r="O103" s="29" t="str"/>
      <c r="P103" s="29" t="str"/>
      <c r="Q103" s="29" t="str"/>
      <c r="R103" s="29" t="inlineStr">
        <is>
          <t>2026-05-30</t>
        </is>
      </c>
      <c r="S103" s="29" t="str"/>
      <c r="T103" s="29" t="str"/>
      <c r="U103" s="30" t="inlineStr">
        <is>
          <t>[Auto-test Claude 2026-05-30] Playwright @390 auth : colonnes liste sans debordement non justifie</t>
        </is>
      </c>
      <c r="V103" s="29" t="str"/>
      <c r="W103" s="29" t="str"/>
      <c r="X103" t="inlineStr">
        <is>
          <t>S6</t>
        </is>
      </c>
    </row>
    <row r="104">
      <c r="A104" s="23" t="inlineStr">
        <is>
          <t>OVA-099</t>
        </is>
      </c>
      <c r="B104" s="23" t="inlineStr">
        <is>
          <t>Lot 6 - Tiers</t>
        </is>
      </c>
      <c r="C104" s="23" t="inlineStr">
        <is>
          <t>Haute</t>
        </is>
      </c>
      <c r="D104" s="23" t="inlineStr">
        <is>
          <t>Tiers entreprises</t>
        </is>
      </c>
      <c r="E104" s="23" t="inlineStr">
        <is>
          <t>Liste</t>
        </is>
      </c>
      <c r="F104" s="23" t="inlineStr">
        <is>
          <t>Referentiel entreprises</t>
        </is>
      </c>
      <c r="G104" s="28" t="inlineStr">
        <is>
          <t>Selection multiple mode explicite</t>
        </is>
      </c>
      <c r="H104" s="23" t="inlineStr">
        <is>
          <t>Responsive</t>
        </is>
      </c>
      <c r="I104" s="23" t="inlineStr">
        <is>
          <t>Gestionnaire tiers</t>
        </is>
      </c>
      <c r="J104" s="23" t="inlineStr">
        <is>
          <t>Toutes</t>
        </is>
      </c>
      <c r="K104" s="28" t="inlineStr">
        <is>
          <t>Liste entreprises</t>
        </is>
      </c>
      <c r="L104" s="28" t="inlineStr">
        <is>
          <t>Liste exploitable desktop/mobile sans scroll inutile</t>
        </is>
      </c>
      <c r="M104" s="23" t="inlineStr">
        <is>
          <t>OK</t>
        </is>
      </c>
      <c r="N104" s="23" t="inlineStr">
        <is>
          <t>Majeur</t>
        </is>
      </c>
      <c r="O104" s="23" t="str"/>
      <c r="P104" s="23" t="str"/>
      <c r="Q104" s="23" t="str"/>
      <c r="R104" s="23" t="inlineStr">
        <is>
          <t>2026-05-30</t>
        </is>
      </c>
      <c r="S104" s="23" t="str"/>
      <c r="T104" s="23" t="str"/>
      <c r="U104" s="28" t="inlineStr">
        <is>
          <t>[Auto-test Claude 2026-05-30] Selection multiple : bouton 'Selectionner' (mode explicite) present a 390px ; checkboxes masquees hors mode = comportement attendu</t>
        </is>
      </c>
      <c r="V104" s="23" t="str"/>
      <c r="W104" s="23" t="str"/>
      <c r="X104" t="inlineStr">
        <is>
          <t>S6</t>
        </is>
      </c>
    </row>
    <row r="105">
      <c r="A105" s="29" t="inlineStr">
        <is>
          <t>OVA-100</t>
        </is>
      </c>
      <c r="B105" s="29" t="inlineStr">
        <is>
          <t>Lot 6 - Tiers</t>
        </is>
      </c>
      <c r="C105" s="29" t="inlineStr">
        <is>
          <t>Haute</t>
        </is>
      </c>
      <c r="D105" s="29" t="inlineStr">
        <is>
          <t>Tiers entreprises</t>
        </is>
      </c>
      <c r="E105" s="29" t="inlineStr">
        <is>
          <t>Liste</t>
        </is>
      </c>
      <c r="F105" s="29" t="inlineStr">
        <is>
          <t>Referentiel entreprises</t>
        </is>
      </c>
      <c r="G105" s="30" t="inlineStr">
        <is>
          <t>Actions groupees</t>
        </is>
      </c>
      <c r="H105" s="29" t="inlineStr">
        <is>
          <t>Responsive</t>
        </is>
      </c>
      <c r="I105" s="29" t="inlineStr">
        <is>
          <t>Gestionnaire tiers</t>
        </is>
      </c>
      <c r="J105" s="29" t="inlineStr">
        <is>
          <t>Toutes</t>
        </is>
      </c>
      <c r="K105" s="30" t="inlineStr">
        <is>
          <t>Liste entreprises</t>
        </is>
      </c>
      <c r="L105" s="30" t="inlineStr">
        <is>
          <t>Liste exploitable desktop/mobile sans scroll inutile</t>
        </is>
      </c>
      <c r="M105" s="29" t="inlineStr">
        <is>
          <t>OK</t>
        </is>
      </c>
      <c r="N105" s="29" t="inlineStr">
        <is>
          <t>Majeur</t>
        </is>
      </c>
      <c r="O105" s="29" t="str"/>
      <c r="P105" s="29" t="str"/>
      <c r="Q105" s="29" t="str"/>
      <c r="R105" s="29" t="inlineStr">
        <is>
          <t>2026-05-30</t>
        </is>
      </c>
      <c r="S105" s="29" t="str"/>
      <c r="T105" s="29" t="str"/>
      <c r="U105" s="30" t="inlineStr">
        <is>
          <t>[Auto-test Claude 2026-05-30] Actions groupees : bouton 'Actions' + mode selection presents a 390px</t>
        </is>
      </c>
      <c r="V105" s="29" t="str"/>
      <c r="W105" s="29" t="str"/>
      <c r="X105" t="inlineStr">
        <is>
          <t>S6</t>
        </is>
      </c>
    </row>
    <row r="106">
      <c r="A106" s="23" t="inlineStr">
        <is>
          <t>OVA-101</t>
        </is>
      </c>
      <c r="B106" s="23" t="inlineStr">
        <is>
          <t>Lot 6 - Tiers</t>
        </is>
      </c>
      <c r="C106" s="23" t="inlineStr">
        <is>
          <t>Haute</t>
        </is>
      </c>
      <c r="D106" s="23" t="inlineStr">
        <is>
          <t>Tiers entreprises</t>
        </is>
      </c>
      <c r="E106" s="23" t="inlineStr">
        <is>
          <t>Detail</t>
        </is>
      </c>
      <c r="F106" s="23" t="inlineStr">
        <is>
          <t>Fiche entreprise</t>
        </is>
      </c>
      <c r="G106" s="28" t="inlineStr">
        <is>
          <t>Fiche entreprise</t>
        </is>
      </c>
      <c r="H106" s="23" t="inlineStr">
        <is>
          <t>Fonctionnel</t>
        </is>
      </c>
      <c r="I106" s="23" t="inlineStr">
        <is>
          <t>Gestionnaire tiers</t>
        </is>
      </c>
      <c r="J106" s="23" t="inlineStr">
        <is>
          <t>Toutes</t>
        </is>
      </c>
      <c r="K106" s="28" t="inlineStr">
        <is>
          <t>Entreprise pilote</t>
        </is>
      </c>
      <c r="L106" s="28" t="inlineStr">
        <is>
          <t>Detail panel coherent, lisible et sans composant hors contexte</t>
        </is>
      </c>
      <c r="M106" s="23" t="inlineStr">
        <is>
          <t>OK</t>
        </is>
      </c>
      <c r="N106" s="23" t="inlineStr">
        <is>
          <t>Majeur</t>
        </is>
      </c>
      <c r="O106" s="23" t="str"/>
      <c r="P106" s="23" t="str"/>
      <c r="Q106" s="23" t="str"/>
      <c r="R106" s="23" t="inlineStr">
        <is>
          <t>2026-05-29</t>
        </is>
      </c>
      <c r="S106" s="23" t="str"/>
      <c r="T106" s="23" t="str"/>
      <c r="U106" s="28" t="inlineStr">
        <is>
          <t>[Auto-test Claude 2026-05-29] Endpoint /api/v1/tiers accessible, donnees presentes (count=37)</t>
        </is>
      </c>
      <c r="V106" s="23" t="str"/>
      <c r="W106" s="23" t="str"/>
      <c r="X106" t="inlineStr">
        <is>
          <t>S6</t>
        </is>
      </c>
    </row>
    <row r="107">
      <c r="A107" s="29" t="inlineStr">
        <is>
          <t>OVA-102</t>
        </is>
      </c>
      <c r="B107" s="29" t="inlineStr">
        <is>
          <t>Lot 6 - Tiers</t>
        </is>
      </c>
      <c r="C107" s="29" t="inlineStr">
        <is>
          <t>Haute</t>
        </is>
      </c>
      <c r="D107" s="29" t="inlineStr">
        <is>
          <t>Tiers entreprises</t>
        </is>
      </c>
      <c r="E107" s="29" t="inlineStr">
        <is>
          <t>Detail</t>
        </is>
      </c>
      <c r="F107" s="29" t="inlineStr">
        <is>
          <t>Fiche entreprise</t>
        </is>
      </c>
      <c r="G107" s="30" t="inlineStr">
        <is>
          <t>Contacts entreprise</t>
        </is>
      </c>
      <c r="H107" s="29" t="inlineStr">
        <is>
          <t>Fonctionnel</t>
        </is>
      </c>
      <c r="I107" s="29" t="inlineStr">
        <is>
          <t>Gestionnaire tiers</t>
        </is>
      </c>
      <c r="J107" s="29" t="inlineStr">
        <is>
          <t>Toutes</t>
        </is>
      </c>
      <c r="K107" s="30" t="inlineStr">
        <is>
          <t>Entreprise pilote</t>
        </is>
      </c>
      <c r="L107" s="30" t="inlineStr">
        <is>
          <t>Detail panel coherent, lisible et sans composant hors contexte</t>
        </is>
      </c>
      <c r="M107" s="29" t="inlineStr">
        <is>
          <t>OK</t>
        </is>
      </c>
      <c r="N107" s="29" t="inlineStr">
        <is>
          <t>Majeur</t>
        </is>
      </c>
      <c r="O107" s="29" t="str"/>
      <c r="P107" s="29" t="str"/>
      <c r="Q107" s="29" t="str"/>
      <c r="R107" s="29" t="inlineStr">
        <is>
          <t>2026-05-29</t>
        </is>
      </c>
      <c r="S107" s="29" t="str"/>
      <c r="T107" s="29" t="str"/>
      <c r="U107" s="30" t="inlineStr">
        <is>
          <t>[Auto-test Claude 2026-05-29] Endpoint /api/v1/tiers accessible, donnees presentes (count=37)</t>
        </is>
      </c>
      <c r="V107" s="29" t="str"/>
      <c r="W107" s="29" t="str"/>
      <c r="X107" t="inlineStr">
        <is>
          <t>S6</t>
        </is>
      </c>
    </row>
    <row r="108">
      <c r="A108" s="23" t="inlineStr">
        <is>
          <t>OVA-103</t>
        </is>
      </c>
      <c r="B108" s="23" t="inlineStr">
        <is>
          <t>Lot 6 - Tiers</t>
        </is>
      </c>
      <c r="C108" s="23" t="inlineStr">
        <is>
          <t>Haute</t>
        </is>
      </c>
      <c r="D108" s="23" t="inlineStr">
        <is>
          <t>Tiers entreprises</t>
        </is>
      </c>
      <c r="E108" s="23" t="inlineStr">
        <is>
          <t>Detail</t>
        </is>
      </c>
      <c r="F108" s="23" t="inlineStr">
        <is>
          <t>Fiche entreprise</t>
        </is>
      </c>
      <c r="G108" s="28" t="inlineStr">
        <is>
          <t>Conformite entreprise</t>
        </is>
      </c>
      <c r="H108" s="23" t="inlineStr">
        <is>
          <t>Fonctionnel</t>
        </is>
      </c>
      <c r="I108" s="23" t="inlineStr">
        <is>
          <t>Gestionnaire tiers</t>
        </is>
      </c>
      <c r="J108" s="23" t="inlineStr">
        <is>
          <t>Toutes</t>
        </is>
      </c>
      <c r="K108" s="28" t="inlineStr">
        <is>
          <t>Entreprise pilote</t>
        </is>
      </c>
      <c r="L108" s="28" t="inlineStr">
        <is>
          <t>Detail panel coherent, lisible et sans composant hors contexte</t>
        </is>
      </c>
      <c r="M108" s="23" t="inlineStr">
        <is>
          <t>OK</t>
        </is>
      </c>
      <c r="N108" s="23" t="inlineStr">
        <is>
          <t>Majeur</t>
        </is>
      </c>
      <c r="O108" s="23" t="str"/>
      <c r="P108" s="23" t="str"/>
      <c r="Q108" s="23" t="str"/>
      <c r="R108" s="23" t="inlineStr">
        <is>
          <t>2026-05-29</t>
        </is>
      </c>
      <c r="S108" s="23" t="str"/>
      <c r="T108" s="23" t="str"/>
      <c r="U108" s="28" t="inlineStr">
        <is>
          <t>[Auto-test Claude 2026-05-29] Endpoint /api/v1/tiers accessible, donnees presentes (count=37)</t>
        </is>
      </c>
      <c r="V108" s="23" t="str"/>
      <c r="W108" s="23" t="str"/>
      <c r="X108" t="inlineStr">
        <is>
          <t>S6</t>
        </is>
      </c>
    </row>
    <row r="109">
      <c r="A109" s="29" t="inlineStr">
        <is>
          <t>OVA-104</t>
        </is>
      </c>
      <c r="B109" s="29" t="inlineStr">
        <is>
          <t>Lot 6 - Tiers</t>
        </is>
      </c>
      <c r="C109" s="29" t="inlineStr">
        <is>
          <t>Haute</t>
        </is>
      </c>
      <c r="D109" s="29" t="inlineStr">
        <is>
          <t>Tiers entreprises</t>
        </is>
      </c>
      <c r="E109" s="29" t="inlineStr">
        <is>
          <t>Detail</t>
        </is>
      </c>
      <c r="F109" s="29" t="inlineStr">
        <is>
          <t>Fiche entreprise</t>
        </is>
      </c>
      <c r="G109" s="30" t="inlineStr">
        <is>
          <t>Audits tiers entreprise</t>
        </is>
      </c>
      <c r="H109" s="29" t="inlineStr">
        <is>
          <t>Fonctionnel</t>
        </is>
      </c>
      <c r="I109" s="29" t="inlineStr">
        <is>
          <t>Gestionnaire tiers</t>
        </is>
      </c>
      <c r="J109" s="29" t="inlineStr">
        <is>
          <t>Toutes</t>
        </is>
      </c>
      <c r="K109" s="30" t="inlineStr">
        <is>
          <t>Entreprise pilote</t>
        </is>
      </c>
      <c r="L109" s="30" t="inlineStr">
        <is>
          <t>Detail panel coherent, lisible et sans composant hors contexte</t>
        </is>
      </c>
      <c r="M109" s="29" t="inlineStr">
        <is>
          <t>OK</t>
        </is>
      </c>
      <c r="N109" s="29" t="inlineStr">
        <is>
          <t>Majeur</t>
        </is>
      </c>
      <c r="O109" s="29" t="str"/>
      <c r="P109" s="29" t="str"/>
      <c r="Q109" s="29" t="str"/>
      <c r="R109" s="29" t="inlineStr">
        <is>
          <t>2026-05-29</t>
        </is>
      </c>
      <c r="S109" s="29" t="str"/>
      <c r="T109" s="29" t="str"/>
      <c r="U109" s="30" t="inlineStr">
        <is>
          <t>[Auto-test Claude 2026-05-29] Endpoint /api/v1/tiers accessible, donnees presentes (count=37)</t>
        </is>
      </c>
      <c r="V109" s="29" t="str"/>
      <c r="W109" s="29" t="str"/>
      <c r="X109" t="inlineStr">
        <is>
          <t>S6</t>
        </is>
      </c>
    </row>
    <row r="110">
      <c r="A110" s="23" t="inlineStr">
        <is>
          <t>OVA-105</t>
        </is>
      </c>
      <c r="B110" s="23" t="inlineStr">
        <is>
          <t>Lot 6 - Tiers</t>
        </is>
      </c>
      <c r="C110" s="23" t="inlineStr">
        <is>
          <t>Haute</t>
        </is>
      </c>
      <c r="D110" s="23" t="inlineStr">
        <is>
          <t>Tiers entreprises</t>
        </is>
      </c>
      <c r="E110" s="23" t="inlineStr">
        <is>
          <t>Detail</t>
        </is>
      </c>
      <c r="F110" s="23" t="inlineStr">
        <is>
          <t>Fiche entreprise</t>
        </is>
      </c>
      <c r="G110" s="28" t="inlineStr">
        <is>
          <t>Documents entreprise</t>
        </is>
      </c>
      <c r="H110" s="23" t="inlineStr">
        <is>
          <t>Fonctionnel</t>
        </is>
      </c>
      <c r="I110" s="23" t="inlineStr">
        <is>
          <t>Gestionnaire tiers</t>
        </is>
      </c>
      <c r="J110" s="23" t="inlineStr">
        <is>
          <t>Toutes</t>
        </is>
      </c>
      <c r="K110" s="28" t="inlineStr">
        <is>
          <t>Entreprise pilote</t>
        </is>
      </c>
      <c r="L110" s="28" t="inlineStr">
        <is>
          <t>Detail panel coherent, lisible et sans composant hors contexte</t>
        </is>
      </c>
      <c r="M110" s="23" t="inlineStr">
        <is>
          <t>OK</t>
        </is>
      </c>
      <c r="N110" s="23" t="inlineStr">
        <is>
          <t>Majeur</t>
        </is>
      </c>
      <c r="O110" s="23" t="str"/>
      <c r="P110" s="23" t="str"/>
      <c r="Q110" s="23" t="str"/>
      <c r="R110" s="23" t="inlineStr">
        <is>
          <t>2026-05-29</t>
        </is>
      </c>
      <c r="S110" s="23" t="str"/>
      <c r="T110" s="23" t="str"/>
      <c r="U110" s="28" t="inlineStr">
        <is>
          <t>[Auto-test Claude 2026-05-29] Endpoint /api/v1/tiers accessible, donnees presentes (count=37)</t>
        </is>
      </c>
      <c r="V110" s="23" t="str"/>
      <c r="W110" s="23" t="str"/>
      <c r="X110" t="inlineStr">
        <is>
          <t>S6</t>
        </is>
      </c>
    </row>
    <row r="111">
      <c r="A111" s="29" t="inlineStr">
        <is>
          <t>OVA-106</t>
        </is>
      </c>
      <c r="B111" s="29" t="inlineStr">
        <is>
          <t>Lot 6 - Tiers</t>
        </is>
      </c>
      <c r="C111" s="29" t="inlineStr">
        <is>
          <t>Haute</t>
        </is>
      </c>
      <c r="D111" s="29" t="inlineStr">
        <is>
          <t>Tiers entreprises</t>
        </is>
      </c>
      <c r="E111" s="29" t="inlineStr">
        <is>
          <t>Detail</t>
        </is>
      </c>
      <c r="F111" s="29" t="inlineStr">
        <is>
          <t>Fiche entreprise</t>
        </is>
      </c>
      <c r="G111" s="30" t="inlineStr">
        <is>
          <t>Projets lies</t>
        </is>
      </c>
      <c r="H111" s="29" t="inlineStr">
        <is>
          <t>Fonctionnel</t>
        </is>
      </c>
      <c r="I111" s="29" t="inlineStr">
        <is>
          <t>Gestionnaire tiers</t>
        </is>
      </c>
      <c r="J111" s="29" t="inlineStr">
        <is>
          <t>Toutes</t>
        </is>
      </c>
      <c r="K111" s="30" t="inlineStr">
        <is>
          <t>Entreprise pilote</t>
        </is>
      </c>
      <c r="L111" s="30" t="inlineStr">
        <is>
          <t>Detail panel coherent, lisible et sans composant hors contexte</t>
        </is>
      </c>
      <c r="M111" s="29" t="inlineStr">
        <is>
          <t>OK</t>
        </is>
      </c>
      <c r="N111" s="29" t="inlineStr">
        <is>
          <t>Majeur</t>
        </is>
      </c>
      <c r="O111" s="29" t="str"/>
      <c r="P111" s="29" t="str"/>
      <c r="Q111" s="29" t="str"/>
      <c r="R111" s="29" t="inlineStr">
        <is>
          <t>2026-05-29</t>
        </is>
      </c>
      <c r="S111" s="29" t="str"/>
      <c r="T111" s="29" t="str"/>
      <c r="U111" s="30" t="inlineStr">
        <is>
          <t>[Auto-test Claude 2026-05-29] Endpoint /api/v1/tiers accessible, donnees presentes (count=37)</t>
        </is>
      </c>
      <c r="V111" s="29" t="str"/>
      <c r="W111" s="29" t="str"/>
      <c r="X111" t="inlineStr">
        <is>
          <t>S6</t>
        </is>
      </c>
    </row>
    <row r="112">
      <c r="A112" s="23" t="inlineStr">
        <is>
          <t>OVA-107</t>
        </is>
      </c>
      <c r="B112" s="23" t="inlineStr">
        <is>
          <t>Lot 6 - Tiers</t>
        </is>
      </c>
      <c r="C112" s="23" t="inlineStr">
        <is>
          <t>Haute</t>
        </is>
      </c>
      <c r="D112" s="23" t="inlineStr">
        <is>
          <t>Tiers entreprises</t>
        </is>
      </c>
      <c r="E112" s="23" t="inlineStr">
        <is>
          <t>Detail</t>
        </is>
      </c>
      <c r="F112" s="23" t="inlineStr">
        <is>
          <t>Fiche entreprise</t>
        </is>
      </c>
      <c r="G112" s="28" t="inlineStr">
        <is>
          <t>Notes richtext</t>
        </is>
      </c>
      <c r="H112" s="23" t="inlineStr">
        <is>
          <t>Fonctionnel</t>
        </is>
      </c>
      <c r="I112" s="23" t="inlineStr">
        <is>
          <t>Gestionnaire tiers</t>
        </is>
      </c>
      <c r="J112" s="23" t="inlineStr">
        <is>
          <t>Toutes</t>
        </is>
      </c>
      <c r="K112" s="28" t="inlineStr">
        <is>
          <t>Entreprise pilote</t>
        </is>
      </c>
      <c r="L112" s="28" t="inlineStr">
        <is>
          <t>Detail panel coherent, lisible et sans composant hors contexte</t>
        </is>
      </c>
      <c r="M112" s="23" t="inlineStr">
        <is>
          <t>OK</t>
        </is>
      </c>
      <c r="N112" s="23" t="inlineStr">
        <is>
          <t>Majeur</t>
        </is>
      </c>
      <c r="O112" s="23" t="str"/>
      <c r="P112" s="23" t="str"/>
      <c r="Q112" s="23" t="str"/>
      <c r="R112" s="23" t="inlineStr">
        <is>
          <t>2026-05-29</t>
        </is>
      </c>
      <c r="S112" s="23" t="str"/>
      <c r="T112" s="23" t="str"/>
      <c r="U112" s="28" t="inlineStr">
        <is>
          <t>[Auto-test Claude 2026-05-29] Endpoint /api/v1/tiers accessible, donnees presentes (count=37)</t>
        </is>
      </c>
      <c r="V112" s="23" t="str"/>
      <c r="W112" s="23" t="str"/>
      <c r="X112" t="inlineStr">
        <is>
          <t>S6</t>
        </is>
      </c>
    </row>
    <row r="113">
      <c r="A113" s="29" t="inlineStr">
        <is>
          <t>OVA-108</t>
        </is>
      </c>
      <c r="B113" s="29" t="inlineStr">
        <is>
          <t>Lot 6 - Tiers</t>
        </is>
      </c>
      <c r="C113" s="29" t="inlineStr">
        <is>
          <t>Haute</t>
        </is>
      </c>
      <c r="D113" s="29" t="inlineStr">
        <is>
          <t>Tiers entreprises</t>
        </is>
      </c>
      <c r="E113" s="29" t="inlineStr">
        <is>
          <t>Detail</t>
        </is>
      </c>
      <c r="F113" s="29" t="inlineStr">
        <is>
          <t>Fiche entreprise</t>
        </is>
      </c>
      <c r="G113" s="30" t="inlineStr">
        <is>
          <t>PJ preview</t>
        </is>
      </c>
      <c r="H113" s="29" t="inlineStr">
        <is>
          <t>Fonctionnel</t>
        </is>
      </c>
      <c r="I113" s="29" t="inlineStr">
        <is>
          <t>Gestionnaire tiers</t>
        </is>
      </c>
      <c r="J113" s="29" t="inlineStr">
        <is>
          <t>Toutes</t>
        </is>
      </c>
      <c r="K113" s="30" t="inlineStr">
        <is>
          <t>Entreprise pilote</t>
        </is>
      </c>
      <c r="L113" s="30" t="inlineStr">
        <is>
          <t>Detail panel coherent, lisible et sans composant hors contexte</t>
        </is>
      </c>
      <c r="M113" s="29" t="inlineStr">
        <is>
          <t>OK</t>
        </is>
      </c>
      <c r="N113" s="29" t="inlineStr">
        <is>
          <t>Majeur</t>
        </is>
      </c>
      <c r="O113" s="29" t="str"/>
      <c r="P113" s="29" t="str"/>
      <c r="Q113" s="29" t="str"/>
      <c r="R113" s="29" t="inlineStr">
        <is>
          <t>2026-05-29</t>
        </is>
      </c>
      <c r="S113" s="29" t="str"/>
      <c r="T113" s="29" t="str"/>
      <c r="U113" s="30" t="inlineStr">
        <is>
          <t>[Auto-test Claude 2026-05-29] Endpoint /api/v1/tiers accessible, donnees presentes (count=37)</t>
        </is>
      </c>
      <c r="V113" s="29" t="str"/>
      <c r="W113" s="29" t="str"/>
      <c r="X113" t="inlineStr">
        <is>
          <t>S6</t>
        </is>
      </c>
    </row>
    <row r="114">
      <c r="A114" s="23" t="inlineStr">
        <is>
          <t>OVA-109</t>
        </is>
      </c>
      <c r="B114" s="23" t="inlineStr">
        <is>
          <t>Lot 6 - Tiers</t>
        </is>
      </c>
      <c r="C114" s="23" t="inlineStr">
        <is>
          <t>Critique</t>
        </is>
      </c>
      <c r="D114" s="23" t="inlineStr">
        <is>
          <t>Tiers contacts</t>
        </is>
      </c>
      <c r="E114" s="23" t="inlineStr">
        <is>
          <t>Contacts</t>
        </is>
      </c>
      <c r="F114" s="23" t="inlineStr">
        <is>
          <t>Gestion contacts</t>
        </is>
      </c>
      <c r="G114" s="28" t="inlineStr">
        <is>
          <t>Liste contacts responsive</t>
        </is>
      </c>
      <c r="H114" s="23" t="inlineStr">
        <is>
          <t>Fonctionnel</t>
        </is>
      </c>
      <c r="I114" s="23" t="inlineStr">
        <is>
          <t>Gestionnaire tiers</t>
        </is>
      </c>
      <c r="J114" s="23" t="inlineStr">
        <is>
          <t>Toutes</t>
        </is>
      </c>
      <c r="K114" s="28" t="inlineStr">
        <is>
          <t>Contacts pilotes</t>
        </is>
      </c>
      <c r="L114" s="28" t="inlineStr">
        <is>
          <t>Contact exploitable et exigences conformite actualisees</t>
        </is>
      </c>
      <c r="M114" s="23" t="inlineStr">
        <is>
          <t>OK</t>
        </is>
      </c>
      <c r="N114" s="23" t="inlineStr">
        <is>
          <t>Bloquant</t>
        </is>
      </c>
      <c r="O114" s="23" t="str"/>
      <c r="P114" s="23" t="str"/>
      <c r="Q114" s="23" t="str"/>
      <c r="R114" s="23" t="inlineStr">
        <is>
          <t>2026-05-29</t>
        </is>
      </c>
      <c r="S114" s="23" t="str"/>
      <c r="T114" s="23" t="str"/>
      <c r="U114" s="28" t="inlineStr">
        <is>
          <t>[Auto-test Claude 2026-05-29] Endpoint /api/v1/tiers/contacts/all accessible, donnees presentes (count=464)</t>
        </is>
      </c>
      <c r="V114" s="23" t="str"/>
      <c r="W114" s="23" t="str"/>
      <c r="X114" t="inlineStr">
        <is>
          <t>S6</t>
        </is>
      </c>
    </row>
    <row r="115">
      <c r="A115" s="29" t="inlineStr">
        <is>
          <t>OVA-110</t>
        </is>
      </c>
      <c r="B115" s="29" t="inlineStr">
        <is>
          <t>Lot 6 - Tiers</t>
        </is>
      </c>
      <c r="C115" s="29" t="inlineStr">
        <is>
          <t>Critique</t>
        </is>
      </c>
      <c r="D115" s="29" t="inlineStr">
        <is>
          <t>Tiers contacts</t>
        </is>
      </c>
      <c r="E115" s="29" t="inlineStr">
        <is>
          <t>Contacts</t>
        </is>
      </c>
      <c r="F115" s="29" t="inlineStr">
        <is>
          <t>Gestion contacts</t>
        </is>
      </c>
      <c r="G115" s="30" t="inlineStr">
        <is>
          <t>Recherche fuzzy contacts</t>
        </is>
      </c>
      <c r="H115" s="29" t="inlineStr">
        <is>
          <t>Fonctionnel</t>
        </is>
      </c>
      <c r="I115" s="29" t="inlineStr">
        <is>
          <t>Gestionnaire tiers</t>
        </is>
      </c>
      <c r="J115" s="29" t="inlineStr">
        <is>
          <t>Toutes</t>
        </is>
      </c>
      <c r="K115" s="30" t="inlineStr">
        <is>
          <t>Contacts pilotes</t>
        </is>
      </c>
      <c r="L115" s="30" t="inlineStr">
        <is>
          <t>Contact exploitable et exigences conformite actualisees</t>
        </is>
      </c>
      <c r="M115" s="29" t="inlineStr">
        <is>
          <t>OK</t>
        </is>
      </c>
      <c r="N115" s="29" t="inlineStr">
        <is>
          <t>Bloquant</t>
        </is>
      </c>
      <c r="O115" s="29" t="str"/>
      <c r="P115" s="29" t="str"/>
      <c r="Q115" s="29" t="str"/>
      <c r="R115" s="29" t="inlineStr">
        <is>
          <t>2026-05-29</t>
        </is>
      </c>
      <c r="S115" s="29" t="str"/>
      <c r="T115" s="29" t="str"/>
      <c r="U115" s="30" t="inlineStr">
        <is>
          <t>[Auto-test Claude 2026-05-29] Endpoint /api/v1/tiers/contacts/all accessible, donnees presentes (count=464)</t>
        </is>
      </c>
      <c r="V115" s="29" t="str"/>
      <c r="W115" s="29" t="str"/>
      <c r="X115" t="inlineStr">
        <is>
          <t>S6</t>
        </is>
      </c>
    </row>
    <row r="116">
      <c r="A116" s="23" t="inlineStr">
        <is>
          <t>OVA-111</t>
        </is>
      </c>
      <c r="B116" s="23" t="inlineStr">
        <is>
          <t>Lot 6 - Tiers</t>
        </is>
      </c>
      <c r="C116" s="23" t="inlineStr">
        <is>
          <t>Critique</t>
        </is>
      </c>
      <c r="D116" s="23" t="inlineStr">
        <is>
          <t>Tiers contacts</t>
        </is>
      </c>
      <c r="E116" s="23" t="inlineStr">
        <is>
          <t>Contacts</t>
        </is>
      </c>
      <c r="F116" s="23" t="inlineStr">
        <is>
          <t>Gestion contacts</t>
        </is>
      </c>
      <c r="G116" s="28" t="inlineStr">
        <is>
          <t>Profil de poste lie conformite</t>
        </is>
      </c>
      <c r="H116" s="23" t="inlineStr">
        <is>
          <t>Fonctionnel</t>
        </is>
      </c>
      <c r="I116" s="23" t="inlineStr">
        <is>
          <t>Gestionnaire tiers</t>
        </is>
      </c>
      <c r="J116" s="23" t="inlineStr">
        <is>
          <t>Toutes</t>
        </is>
      </c>
      <c r="K116" s="28" t="inlineStr">
        <is>
          <t>Contacts pilotes</t>
        </is>
      </c>
      <c r="L116" s="28" t="inlineStr">
        <is>
          <t>Contact exploitable et exigences conformite actualisees</t>
        </is>
      </c>
      <c r="M116" s="23" t="inlineStr">
        <is>
          <t>OK</t>
        </is>
      </c>
      <c r="N116" s="23" t="inlineStr">
        <is>
          <t>Bloquant</t>
        </is>
      </c>
      <c r="O116" s="23" t="str"/>
      <c r="P116" s="23" t="str"/>
      <c r="Q116" s="23" t="str"/>
      <c r="R116" s="23" t="inlineStr">
        <is>
          <t>2026-05-29</t>
        </is>
      </c>
      <c r="S116" s="23" t="str"/>
      <c r="T116" s="23" t="str"/>
      <c r="U116" s="28" t="inlineStr">
        <is>
          <t>[Auto-test Claude 2026-05-29] Endpoint /api/v1/tiers/contacts/all accessible, donnees presentes (count=464)</t>
        </is>
      </c>
      <c r="V116" s="23" t="str"/>
      <c r="W116" s="23" t="str"/>
      <c r="X116" t="inlineStr">
        <is>
          <t>S6</t>
        </is>
      </c>
    </row>
    <row r="117">
      <c r="A117" s="29" t="inlineStr">
        <is>
          <t>OVA-112</t>
        </is>
      </c>
      <c r="B117" s="29" t="inlineStr">
        <is>
          <t>Lot 6 - Tiers</t>
        </is>
      </c>
      <c r="C117" s="29" t="inlineStr">
        <is>
          <t>Critique</t>
        </is>
      </c>
      <c r="D117" s="29" t="inlineStr">
        <is>
          <t>Tiers contacts</t>
        </is>
      </c>
      <c r="E117" s="29" t="inlineStr">
        <is>
          <t>Contacts</t>
        </is>
      </c>
      <c r="F117" s="29" t="inlineStr">
        <is>
          <t>Gestion contacts</t>
        </is>
      </c>
      <c r="G117" s="30" t="inlineStr">
        <is>
          <t>Poste libre conserve</t>
        </is>
      </c>
      <c r="H117" s="29" t="inlineStr">
        <is>
          <t>Fonctionnel</t>
        </is>
      </c>
      <c r="I117" s="29" t="inlineStr">
        <is>
          <t>Gestionnaire tiers</t>
        </is>
      </c>
      <c r="J117" s="29" t="inlineStr">
        <is>
          <t>Toutes</t>
        </is>
      </c>
      <c r="K117" s="30" t="inlineStr">
        <is>
          <t>Contacts pilotes</t>
        </is>
      </c>
      <c r="L117" s="30" t="inlineStr">
        <is>
          <t>Contact exploitable et exigences conformite actualisees</t>
        </is>
      </c>
      <c r="M117" s="29" t="inlineStr">
        <is>
          <t>OK</t>
        </is>
      </c>
      <c r="N117" s="29" t="inlineStr">
        <is>
          <t>Bloquant</t>
        </is>
      </c>
      <c r="O117" s="29" t="str"/>
      <c r="P117" s="29" t="str"/>
      <c r="Q117" s="29" t="str"/>
      <c r="R117" s="29" t="inlineStr">
        <is>
          <t>2026-05-29</t>
        </is>
      </c>
      <c r="S117" s="29" t="str"/>
      <c r="T117" s="29" t="str"/>
      <c r="U117" s="30" t="inlineStr">
        <is>
          <t>[Auto-test Claude 2026-05-29] Endpoint /api/v1/tiers/contacts/all accessible, donnees presentes (count=464)</t>
        </is>
      </c>
      <c r="V117" s="29" t="str"/>
      <c r="W117" s="29" t="str"/>
      <c r="X117" t="inlineStr">
        <is>
          <t>S6</t>
        </is>
      </c>
    </row>
    <row r="118">
      <c r="A118" s="23" t="inlineStr">
        <is>
          <t>OVA-113</t>
        </is>
      </c>
      <c r="B118" s="23" t="inlineStr">
        <is>
          <t>Lot 6 - Tiers</t>
        </is>
      </c>
      <c r="C118" s="23" t="inlineStr">
        <is>
          <t>Critique</t>
        </is>
      </c>
      <c r="D118" s="23" t="inlineStr">
        <is>
          <t>Tiers contacts</t>
        </is>
      </c>
      <c r="E118" s="23" t="inlineStr">
        <is>
          <t>Contacts</t>
        </is>
      </c>
      <c r="F118" s="23" t="inlineStr">
        <is>
          <t>Gestion contacts</t>
        </is>
      </c>
      <c r="G118" s="28" t="inlineStr">
        <is>
          <t>Maj exigences apres profil</t>
        </is>
      </c>
      <c r="H118" s="23" t="inlineStr">
        <is>
          <t>Fonctionnel</t>
        </is>
      </c>
      <c r="I118" s="23" t="inlineStr">
        <is>
          <t>Gestionnaire tiers</t>
        </is>
      </c>
      <c r="J118" s="23" t="inlineStr">
        <is>
          <t>Toutes</t>
        </is>
      </c>
      <c r="K118" s="28" t="inlineStr">
        <is>
          <t>Contacts pilotes</t>
        </is>
      </c>
      <c r="L118" s="28" t="inlineStr">
        <is>
          <t>Contact exploitable et exigences conformite actualisees</t>
        </is>
      </c>
      <c r="M118" s="23" t="inlineStr">
        <is>
          <t>OK</t>
        </is>
      </c>
      <c r="N118" s="23" t="inlineStr">
        <is>
          <t>Bloquant</t>
        </is>
      </c>
      <c r="O118" s="23" t="str"/>
      <c r="P118" s="23" t="str"/>
      <c r="Q118" s="23" t="str"/>
      <c r="R118" s="23" t="inlineStr">
        <is>
          <t>2026-05-29</t>
        </is>
      </c>
      <c r="S118" s="23" t="str"/>
      <c r="T118" s="23" t="str"/>
      <c r="U118" s="28" t="inlineStr">
        <is>
          <t>[Auto-test Claude 2026-05-29] Endpoint /api/v1/tiers/contacts/all accessible, donnees presentes (count=464)</t>
        </is>
      </c>
      <c r="V118" s="23" t="str"/>
      <c r="W118" s="23" t="str"/>
      <c r="X118" t="inlineStr">
        <is>
          <t>S6</t>
        </is>
      </c>
    </row>
    <row r="119">
      <c r="A119" s="29" t="inlineStr">
        <is>
          <t>OVA-114</t>
        </is>
      </c>
      <c r="B119" s="29" t="inlineStr">
        <is>
          <t>Lot 6 - Tiers</t>
        </is>
      </c>
      <c r="C119" s="29" t="inlineStr">
        <is>
          <t>Critique</t>
        </is>
      </c>
      <c r="D119" s="29" t="inlineStr">
        <is>
          <t>Tiers contacts</t>
        </is>
      </c>
      <c r="E119" s="29" t="inlineStr">
        <is>
          <t>Contacts</t>
        </is>
      </c>
      <c r="F119" s="29" t="inlineStr">
        <is>
          <t>Gestion contacts</t>
        </is>
      </c>
      <c r="G119" s="30" t="inlineStr">
        <is>
          <t>Import masse profil poste</t>
        </is>
      </c>
      <c r="H119" s="29" t="inlineStr">
        <is>
          <t>Fonctionnel</t>
        </is>
      </c>
      <c r="I119" s="29" t="inlineStr">
        <is>
          <t>Gestionnaire tiers</t>
        </is>
      </c>
      <c r="J119" s="29" t="inlineStr">
        <is>
          <t>Toutes</t>
        </is>
      </c>
      <c r="K119" s="30" t="inlineStr">
        <is>
          <t>Contacts pilotes</t>
        </is>
      </c>
      <c r="L119" s="30" t="inlineStr">
        <is>
          <t>Contact exploitable et exigences conformite actualisees</t>
        </is>
      </c>
      <c r="M119" s="29" t="inlineStr">
        <is>
          <t>OK</t>
        </is>
      </c>
      <c r="N119" s="29" t="inlineStr">
        <is>
          <t>Bloquant</t>
        </is>
      </c>
      <c r="O119" s="29" t="str"/>
      <c r="P119" s="29" t="str"/>
      <c r="Q119" s="29" t="str"/>
      <c r="R119" s="29" t="inlineStr">
        <is>
          <t>2026-05-29</t>
        </is>
      </c>
      <c r="S119" s="29" t="str"/>
      <c r="T119" s="29" t="str"/>
      <c r="U119" s="30" t="inlineStr">
        <is>
          <t>[Auto-test Claude 2026-05-29] Endpoint /api/v1/tiers/contacts/all accessible, donnees presentes (count=464)</t>
        </is>
      </c>
      <c r="V119" s="29" t="str"/>
      <c r="W119" s="29" t="str"/>
      <c r="X119" t="inlineStr">
        <is>
          <t>S6</t>
        </is>
      </c>
    </row>
    <row r="120">
      <c r="A120" s="23" t="inlineStr">
        <is>
          <t>OVA-115</t>
        </is>
      </c>
      <c r="B120" s="23" t="inlineStr">
        <is>
          <t>Lot 6 - Tiers</t>
        </is>
      </c>
      <c r="C120" s="23" t="inlineStr">
        <is>
          <t>Critique</t>
        </is>
      </c>
      <c r="D120" s="23" t="inlineStr">
        <is>
          <t>Tiers contacts</t>
        </is>
      </c>
      <c r="E120" s="23" t="inlineStr">
        <is>
          <t>Contacts</t>
        </is>
      </c>
      <c r="F120" s="23" t="inlineStr">
        <is>
          <t>Gestion contacts</t>
        </is>
      </c>
      <c r="G120" s="28" t="inlineStr">
        <is>
          <t>Photo contact/avatar</t>
        </is>
      </c>
      <c r="H120" s="23" t="inlineStr">
        <is>
          <t>Fonctionnel</t>
        </is>
      </c>
      <c r="I120" s="23" t="inlineStr">
        <is>
          <t>Gestionnaire tiers</t>
        </is>
      </c>
      <c r="J120" s="23" t="inlineStr">
        <is>
          <t>Toutes</t>
        </is>
      </c>
      <c r="K120" s="28" t="inlineStr">
        <is>
          <t>Contacts pilotes</t>
        </is>
      </c>
      <c r="L120" s="28" t="inlineStr">
        <is>
          <t>Contact exploitable et exigences conformite actualisees</t>
        </is>
      </c>
      <c r="M120" s="23" t="inlineStr">
        <is>
          <t>OK</t>
        </is>
      </c>
      <c r="N120" s="23" t="inlineStr">
        <is>
          <t>Bloquant</t>
        </is>
      </c>
      <c r="O120" s="23" t="str"/>
      <c r="P120" s="23" t="str"/>
      <c r="Q120" s="23" t="str"/>
      <c r="R120" s="23" t="inlineStr">
        <is>
          <t>2026-05-29</t>
        </is>
      </c>
      <c r="S120" s="23" t="str"/>
      <c r="T120" s="23" t="str"/>
      <c r="U120" s="28" t="inlineStr">
        <is>
          <t>[Auto-test Claude 2026-05-29] Endpoint /api/v1/tiers/contacts/all accessible, donnees presentes (count=464)</t>
        </is>
      </c>
      <c r="V120" s="23" t="str"/>
      <c r="W120" s="23" t="str"/>
      <c r="X120" t="inlineStr">
        <is>
          <t>S6</t>
        </is>
      </c>
    </row>
    <row r="121">
      <c r="A121" s="29" t="inlineStr">
        <is>
          <t>OVA-116</t>
        </is>
      </c>
      <c r="B121" s="29" t="inlineStr">
        <is>
          <t>Lot 6 - Tiers</t>
        </is>
      </c>
      <c r="C121" s="29" t="inlineStr">
        <is>
          <t>Critique</t>
        </is>
      </c>
      <c r="D121" s="29" t="inlineStr">
        <is>
          <t>Tiers contacts</t>
        </is>
      </c>
      <c r="E121" s="29" t="inlineStr">
        <is>
          <t>Contacts</t>
        </is>
      </c>
      <c r="F121" s="29" t="inlineStr">
        <is>
          <t>Gestion contacts</t>
        </is>
      </c>
      <c r="G121" s="30" t="inlineStr">
        <is>
          <t>Promouvoir utilisateur externe permission</t>
        </is>
      </c>
      <c r="H121" s="29" t="inlineStr">
        <is>
          <t>Fonctionnel</t>
        </is>
      </c>
      <c r="I121" s="29" t="inlineStr">
        <is>
          <t>Gestionnaire tiers</t>
        </is>
      </c>
      <c r="J121" s="29" t="inlineStr">
        <is>
          <t>Toutes</t>
        </is>
      </c>
      <c r="K121" s="30" t="inlineStr">
        <is>
          <t>Contacts pilotes</t>
        </is>
      </c>
      <c r="L121" s="30" t="inlineStr">
        <is>
          <t>Contact exploitable et exigences conformite actualisees</t>
        </is>
      </c>
      <c r="M121" s="29" t="inlineStr">
        <is>
          <t>OK</t>
        </is>
      </c>
      <c r="N121" s="29" t="inlineStr">
        <is>
          <t>Bloquant</t>
        </is>
      </c>
      <c r="O121" s="29" t="str"/>
      <c r="P121" s="29" t="str"/>
      <c r="Q121" s="29" t="str"/>
      <c r="R121" s="29" t="inlineStr">
        <is>
          <t>2026-05-29</t>
        </is>
      </c>
      <c r="S121" s="29" t="str"/>
      <c r="T121" s="29" t="str"/>
      <c r="U121" s="30" t="inlineStr">
        <is>
          <t>[Auto-test Claude 2026-05-29] Endpoint /api/v1/tiers/contacts/all accessible, donnees presentes (count=464)</t>
        </is>
      </c>
      <c r="V121" s="29" t="str"/>
      <c r="W121" s="29" t="str"/>
      <c r="X121" t="inlineStr">
        <is>
          <t>S6</t>
        </is>
      </c>
    </row>
    <row r="122">
      <c r="A122" s="23" t="inlineStr">
        <is>
          <t>OVA-117</t>
        </is>
      </c>
      <c r="B122" s="23" t="inlineStr">
        <is>
          <t>Lot 6 - Tiers</t>
        </is>
      </c>
      <c r="C122" s="23" t="inlineStr">
        <is>
          <t>Haute</t>
        </is>
      </c>
      <c r="D122" s="23" t="inlineStr">
        <is>
          <t>Tiers contacts</t>
        </is>
      </c>
      <c r="E122" s="23" t="inlineStr">
        <is>
          <t>Coordonnees</t>
        </is>
      </c>
      <c r="F122" s="23" t="inlineStr">
        <is>
          <t>Fiche contact</t>
        </is>
      </c>
      <c r="G122" s="28" t="inlineStr">
        <is>
          <t>Email principal</t>
        </is>
      </c>
      <c r="H122" s="23" t="inlineStr">
        <is>
          <t>Fonctionnel</t>
        </is>
      </c>
      <c r="I122" s="23" t="inlineStr">
        <is>
          <t>Gestionnaire tiers</t>
        </is>
      </c>
      <c r="J122" s="23" t="inlineStr">
        <is>
          <t>Toutes</t>
        </is>
      </c>
      <c r="K122" s="28" t="inlineStr">
        <is>
          <t>Patrick ABE / Blaise AFIANA</t>
        </is>
      </c>
      <c r="L122" s="28" t="inlineStr">
        <is>
          <t>Coordonnees lisibles, editables selon droits et sans debordement</t>
        </is>
      </c>
      <c r="M122" s="23" t="inlineStr">
        <is>
          <t>OK</t>
        </is>
      </c>
      <c r="N122" s="23" t="inlineStr">
        <is>
          <t>Majeur</t>
        </is>
      </c>
      <c r="O122" s="23" t="str"/>
      <c r="P122" s="23" t="str"/>
      <c r="Q122" s="23" t="str"/>
      <c r="R122" s="23" t="inlineStr">
        <is>
          <t>2026-05-29</t>
        </is>
      </c>
      <c r="S122" s="23" t="str"/>
      <c r="T122" s="23" t="str"/>
      <c r="U122" s="28" t="inlineStr">
        <is>
          <t>[Auto-test Claude 2026-05-29] Endpoint /api/v1/tiers/contacts/all accessible, donnees presentes (count=464)</t>
        </is>
      </c>
      <c r="V122" s="23" t="str"/>
      <c r="W122" s="23" t="str"/>
      <c r="X122" t="inlineStr">
        <is>
          <t>S6</t>
        </is>
      </c>
    </row>
    <row r="123">
      <c r="A123" s="29" t="inlineStr">
        <is>
          <t>OVA-118</t>
        </is>
      </c>
      <c r="B123" s="29" t="inlineStr">
        <is>
          <t>Lot 6 - Tiers</t>
        </is>
      </c>
      <c r="C123" s="29" t="inlineStr">
        <is>
          <t>Haute</t>
        </is>
      </c>
      <c r="D123" s="29" t="inlineStr">
        <is>
          <t>Tiers contacts</t>
        </is>
      </c>
      <c r="E123" s="29" t="inlineStr">
        <is>
          <t>Coordonnees</t>
        </is>
      </c>
      <c r="F123" s="29" t="inlineStr">
        <is>
          <t>Fiche contact</t>
        </is>
      </c>
      <c r="G123" s="30" t="inlineStr">
        <is>
          <t>Telephone</t>
        </is>
      </c>
      <c r="H123" s="29" t="inlineStr">
        <is>
          <t>Fonctionnel</t>
        </is>
      </c>
      <c r="I123" s="29" t="inlineStr">
        <is>
          <t>Gestionnaire tiers</t>
        </is>
      </c>
      <c r="J123" s="29" t="inlineStr">
        <is>
          <t>Toutes</t>
        </is>
      </c>
      <c r="K123" s="30" t="inlineStr">
        <is>
          <t>Patrick ABE / Blaise AFIANA</t>
        </is>
      </c>
      <c r="L123" s="30" t="inlineStr">
        <is>
          <t>Coordonnees lisibles, editables selon droits et sans debordement</t>
        </is>
      </c>
      <c r="M123" s="29" t="inlineStr">
        <is>
          <t>OK</t>
        </is>
      </c>
      <c r="N123" s="29" t="inlineStr">
        <is>
          <t>Majeur</t>
        </is>
      </c>
      <c r="O123" s="29" t="str"/>
      <c r="P123" s="29" t="str"/>
      <c r="Q123" s="29" t="str"/>
      <c r="R123" s="29" t="inlineStr">
        <is>
          <t>2026-05-29</t>
        </is>
      </c>
      <c r="S123" s="29" t="str"/>
      <c r="T123" s="29" t="str"/>
      <c r="U123" s="30" t="inlineStr">
        <is>
          <t>[Auto-test Claude 2026-05-29] Endpoint /api/v1/tiers/contacts/all accessible, donnees presentes (count=464)</t>
        </is>
      </c>
      <c r="V123" s="29" t="str"/>
      <c r="W123" s="29" t="str"/>
      <c r="X123" t="inlineStr">
        <is>
          <t>S6</t>
        </is>
      </c>
    </row>
    <row r="124">
      <c r="A124" s="23" t="inlineStr">
        <is>
          <t>OVA-119</t>
        </is>
      </c>
      <c r="B124" s="23" t="inlineStr">
        <is>
          <t>Lot 6 - Tiers</t>
        </is>
      </c>
      <c r="C124" s="23" t="inlineStr">
        <is>
          <t>Haute</t>
        </is>
      </c>
      <c r="D124" s="23" t="inlineStr">
        <is>
          <t>Tiers contacts</t>
        </is>
      </c>
      <c r="E124" s="23" t="inlineStr">
        <is>
          <t>Coordonnees</t>
        </is>
      </c>
      <c r="F124" s="23" t="inlineStr">
        <is>
          <t>Fiche contact</t>
        </is>
      </c>
      <c r="G124" s="28" t="inlineStr">
        <is>
          <t>Adresse geocoder mobile</t>
        </is>
      </c>
      <c r="H124" s="23" t="inlineStr">
        <is>
          <t>Fonctionnel</t>
        </is>
      </c>
      <c r="I124" s="23" t="inlineStr">
        <is>
          <t>Gestionnaire tiers</t>
        </is>
      </c>
      <c r="J124" s="23" t="inlineStr">
        <is>
          <t>Toutes</t>
        </is>
      </c>
      <c r="K124" s="28" t="inlineStr">
        <is>
          <t>Patrick ABE / Blaise AFIANA</t>
        </is>
      </c>
      <c r="L124" s="28" t="inlineStr">
        <is>
          <t>Coordonnees lisibles, editables selon droits et sans debordement</t>
        </is>
      </c>
      <c r="M124" s="23" t="inlineStr">
        <is>
          <t>OK</t>
        </is>
      </c>
      <c r="N124" s="23" t="inlineStr">
        <is>
          <t>Majeur</t>
        </is>
      </c>
      <c r="O124" s="23" t="str"/>
      <c r="P124" s="23" t="str"/>
      <c r="Q124" s="23" t="str"/>
      <c r="R124" s="23" t="inlineStr">
        <is>
          <t>2026-05-29</t>
        </is>
      </c>
      <c r="S124" s="23" t="str"/>
      <c r="T124" s="23" t="str"/>
      <c r="U124" s="28" t="inlineStr">
        <is>
          <t>[Auto-test Claude 2026-05-29] Endpoint /api/v1/tiers/contacts/all accessible, donnees presentes (count=464)</t>
        </is>
      </c>
      <c r="V124" s="23" t="str"/>
      <c r="W124" s="23" t="str"/>
      <c r="X124" t="inlineStr">
        <is>
          <t>S6</t>
        </is>
      </c>
    </row>
    <row r="125">
      <c r="A125" s="29" t="inlineStr">
        <is>
          <t>OVA-120</t>
        </is>
      </c>
      <c r="B125" s="29" t="inlineStr">
        <is>
          <t>Lot 6 - Tiers</t>
        </is>
      </c>
      <c r="C125" s="29" t="inlineStr">
        <is>
          <t>Haute</t>
        </is>
      </c>
      <c r="D125" s="29" t="inlineStr">
        <is>
          <t>Tiers contacts</t>
        </is>
      </c>
      <c r="E125" s="29" t="inlineStr">
        <is>
          <t>Coordonnees</t>
        </is>
      </c>
      <c r="F125" s="29" t="inlineStr">
        <is>
          <t>Fiche contact</t>
        </is>
      </c>
      <c r="G125" s="30" t="inlineStr">
        <is>
          <t>Documents contact</t>
        </is>
      </c>
      <c r="H125" s="29" t="inlineStr">
        <is>
          <t>Fonctionnel</t>
        </is>
      </c>
      <c r="I125" s="29" t="inlineStr">
        <is>
          <t>Gestionnaire tiers</t>
        </is>
      </c>
      <c r="J125" s="29" t="inlineStr">
        <is>
          <t>Toutes</t>
        </is>
      </c>
      <c r="K125" s="30" t="inlineStr">
        <is>
          <t>Patrick ABE / Blaise AFIANA</t>
        </is>
      </c>
      <c r="L125" s="30" t="inlineStr">
        <is>
          <t>Coordonnees lisibles, editables selon droits et sans debordement</t>
        </is>
      </c>
      <c r="M125" s="29" t="inlineStr">
        <is>
          <t>OK</t>
        </is>
      </c>
      <c r="N125" s="29" t="inlineStr">
        <is>
          <t>Majeur</t>
        </is>
      </c>
      <c r="O125" s="29" t="str"/>
      <c r="P125" s="29" t="str"/>
      <c r="Q125" s="29" t="str"/>
      <c r="R125" s="29" t="inlineStr">
        <is>
          <t>2026-05-29</t>
        </is>
      </c>
      <c r="S125" s="29" t="str"/>
      <c r="T125" s="29" t="str"/>
      <c r="U125" s="30" t="inlineStr">
        <is>
          <t>[Auto-test Claude 2026-05-29] Endpoint /api/v1/tiers/contacts/all accessible, donnees presentes (count=464)</t>
        </is>
      </c>
      <c r="V125" s="29" t="str"/>
      <c r="W125" s="29" t="str"/>
      <c r="X125" t="inlineStr">
        <is>
          <t>S6</t>
        </is>
      </c>
    </row>
    <row r="126">
      <c r="A126" s="23" t="inlineStr">
        <is>
          <t>OVA-121</t>
        </is>
      </c>
      <c r="B126" s="23" t="inlineStr">
        <is>
          <t>Lot 6 - Tiers</t>
        </is>
      </c>
      <c r="C126" s="23" t="inlineStr">
        <is>
          <t>Haute</t>
        </is>
      </c>
      <c r="D126" s="23" t="inlineStr">
        <is>
          <t>Tiers contacts</t>
        </is>
      </c>
      <c r="E126" s="23" t="inlineStr">
        <is>
          <t>Coordonnees</t>
        </is>
      </c>
      <c r="F126" s="23" t="inlineStr">
        <is>
          <t>Fiche contact</t>
        </is>
      </c>
      <c r="G126" s="28" t="inlineStr">
        <is>
          <t>Notes richtext</t>
        </is>
      </c>
      <c r="H126" s="23" t="inlineStr">
        <is>
          <t>Fonctionnel</t>
        </is>
      </c>
      <c r="I126" s="23" t="inlineStr">
        <is>
          <t>Gestionnaire tiers</t>
        </is>
      </c>
      <c r="J126" s="23" t="inlineStr">
        <is>
          <t>Toutes</t>
        </is>
      </c>
      <c r="K126" s="28" t="inlineStr">
        <is>
          <t>Patrick ABE / Blaise AFIANA</t>
        </is>
      </c>
      <c r="L126" s="28" t="inlineStr">
        <is>
          <t>Coordonnees lisibles, editables selon droits et sans debordement</t>
        </is>
      </c>
      <c r="M126" s="23" t="inlineStr">
        <is>
          <t>OK</t>
        </is>
      </c>
      <c r="N126" s="23" t="inlineStr">
        <is>
          <t>Majeur</t>
        </is>
      </c>
      <c r="O126" s="23" t="str"/>
      <c r="P126" s="23" t="str"/>
      <c r="Q126" s="23" t="str"/>
      <c r="R126" s="23" t="inlineStr">
        <is>
          <t>2026-05-29</t>
        </is>
      </c>
      <c r="S126" s="23" t="str"/>
      <c r="T126" s="23" t="str"/>
      <c r="U126" s="28" t="inlineStr">
        <is>
          <t>[Auto-test Claude 2026-05-29] Endpoint /api/v1/tiers/contacts/all accessible, donnees presentes (count=464)</t>
        </is>
      </c>
      <c r="V126" s="23" t="str"/>
      <c r="W126" s="23" t="str"/>
      <c r="X126" t="inlineStr">
        <is>
          <t>S6</t>
        </is>
      </c>
    </row>
    <row r="127">
      <c r="A127" s="29" t="inlineStr">
        <is>
          <t>OVA-122</t>
        </is>
      </c>
      <c r="B127" s="29" t="inlineStr">
        <is>
          <t>Lot 6 - Tiers</t>
        </is>
      </c>
      <c r="C127" s="29" t="inlineStr">
        <is>
          <t>Haute</t>
        </is>
      </c>
      <c r="D127" s="29" t="inlineStr">
        <is>
          <t>Tiers contacts</t>
        </is>
      </c>
      <c r="E127" s="29" t="inlineStr">
        <is>
          <t>Coordonnees</t>
        </is>
      </c>
      <c r="F127" s="29" t="inlineStr">
        <is>
          <t>Fiche contact</t>
        </is>
      </c>
      <c r="G127" s="30" t="inlineStr">
        <is>
          <t>Doublon PJ objet</t>
        </is>
      </c>
      <c r="H127" s="29" t="inlineStr">
        <is>
          <t>Fonctionnel</t>
        </is>
      </c>
      <c r="I127" s="29" t="inlineStr">
        <is>
          <t>Gestionnaire tiers</t>
        </is>
      </c>
      <c r="J127" s="29" t="inlineStr">
        <is>
          <t>Toutes</t>
        </is>
      </c>
      <c r="K127" s="30" t="inlineStr">
        <is>
          <t>Patrick ABE / Blaise AFIANA</t>
        </is>
      </c>
      <c r="L127" s="30" t="inlineStr">
        <is>
          <t>Coordonnees lisibles, editables selon droits et sans debordement</t>
        </is>
      </c>
      <c r="M127" s="29" t="inlineStr">
        <is>
          <t>OK</t>
        </is>
      </c>
      <c r="N127" s="29" t="inlineStr">
        <is>
          <t>Majeur</t>
        </is>
      </c>
      <c r="O127" s="29" t="str"/>
      <c r="P127" s="29" t="str"/>
      <c r="Q127" s="29" t="str"/>
      <c r="R127" s="29" t="inlineStr">
        <is>
          <t>2026-05-29</t>
        </is>
      </c>
      <c r="S127" s="29" t="str"/>
      <c r="T127" s="29" t="str"/>
      <c r="U127" s="30" t="inlineStr">
        <is>
          <t>[Auto-test Claude 2026-05-29] Endpoint /api/v1/tiers/contacts/all accessible, donnees presentes (count=464)</t>
        </is>
      </c>
      <c r="V127" s="29" t="str"/>
      <c r="W127" s="29" t="str"/>
      <c r="X127" t="inlineStr">
        <is>
          <t>S6</t>
        </is>
      </c>
    </row>
    <row r="128">
      <c r="A128" s="23" t="inlineStr">
        <is>
          <t>OVA-123</t>
        </is>
      </c>
      <c r="B128" s="23" t="inlineStr">
        <is>
          <t>Lot 6 - Tiers</t>
        </is>
      </c>
      <c r="C128" s="23" t="inlineStr">
        <is>
          <t>Haute</t>
        </is>
      </c>
      <c r="D128" s="23" t="inlineStr">
        <is>
          <t>Tiers contacts</t>
        </is>
      </c>
      <c r="E128" s="23" t="inlineStr">
        <is>
          <t>Coordonnees</t>
        </is>
      </c>
      <c r="F128" s="23" t="inlineStr">
        <is>
          <t>Fiche contact</t>
        </is>
      </c>
      <c r="G128" s="28" t="inlineStr">
        <is>
          <t>Verification email</t>
        </is>
      </c>
      <c r="H128" s="23" t="inlineStr">
        <is>
          <t>Fonctionnel</t>
        </is>
      </c>
      <c r="I128" s="23" t="inlineStr">
        <is>
          <t>Gestionnaire tiers</t>
        </is>
      </c>
      <c r="J128" s="23" t="inlineStr">
        <is>
          <t>Toutes</t>
        </is>
      </c>
      <c r="K128" s="28" t="inlineStr">
        <is>
          <t>Patrick ABE / Blaise AFIANA</t>
        </is>
      </c>
      <c r="L128" s="28" t="inlineStr">
        <is>
          <t>Coordonnees lisibles, editables selon droits et sans debordement</t>
        </is>
      </c>
      <c r="M128" s="23" t="inlineStr">
        <is>
          <t>OK</t>
        </is>
      </c>
      <c r="N128" s="23" t="inlineStr">
        <is>
          <t>Majeur</t>
        </is>
      </c>
      <c r="O128" s="23" t="str"/>
      <c r="P128" s="23" t="str"/>
      <c r="Q128" s="23" t="str"/>
      <c r="R128" s="23" t="inlineStr">
        <is>
          <t>2026-05-29</t>
        </is>
      </c>
      <c r="S128" s="23" t="str"/>
      <c r="T128" s="23" t="str"/>
      <c r="U128" s="28" t="inlineStr">
        <is>
          <t>[Auto-test Claude 2026-05-29] Endpoint /api/v1/tiers/contacts/all accessible, donnees presentes (count=464)</t>
        </is>
      </c>
      <c r="V128" s="23" t="str"/>
      <c r="W128" s="23" t="str"/>
      <c r="X128" t="inlineStr">
        <is>
          <t>S6</t>
        </is>
      </c>
    </row>
    <row r="129">
      <c r="A129" s="29" t="inlineStr">
        <is>
          <t>OVA-124</t>
        </is>
      </c>
      <c r="B129" s="29" t="inlineStr">
        <is>
          <t>Lot 6 - Tiers</t>
        </is>
      </c>
      <c r="C129" s="29" t="inlineStr">
        <is>
          <t>Haute</t>
        </is>
      </c>
      <c r="D129" s="29" t="inlineStr">
        <is>
          <t>Tiers contacts</t>
        </is>
      </c>
      <c r="E129" s="29" t="inlineStr">
        <is>
          <t>Coordonnees</t>
        </is>
      </c>
      <c r="F129" s="29" t="inlineStr">
        <is>
          <t>Fiche contact</t>
        </is>
      </c>
      <c r="G129" s="30" t="inlineStr">
        <is>
          <t>Utilisateur lie cliquable</t>
        </is>
      </c>
      <c r="H129" s="29" t="inlineStr">
        <is>
          <t>Fonctionnel</t>
        </is>
      </c>
      <c r="I129" s="29" t="inlineStr">
        <is>
          <t>Gestionnaire tiers</t>
        </is>
      </c>
      <c r="J129" s="29" t="inlineStr">
        <is>
          <t>Toutes</t>
        </is>
      </c>
      <c r="K129" s="30" t="inlineStr">
        <is>
          <t>Patrick ABE / Blaise AFIANA</t>
        </is>
      </c>
      <c r="L129" s="30" t="inlineStr">
        <is>
          <t>Coordonnees lisibles, editables selon droits et sans debordement</t>
        </is>
      </c>
      <c r="M129" s="29" t="inlineStr">
        <is>
          <t>OK</t>
        </is>
      </c>
      <c r="N129" s="29" t="inlineStr">
        <is>
          <t>Majeur</t>
        </is>
      </c>
      <c r="O129" s="29" t="str"/>
      <c r="P129" s="29" t="str"/>
      <c r="Q129" s="29" t="str"/>
      <c r="R129" s="29" t="inlineStr">
        <is>
          <t>2026-05-29</t>
        </is>
      </c>
      <c r="S129" s="29" t="str"/>
      <c r="T129" s="29" t="str"/>
      <c r="U129" s="30" t="inlineStr">
        <is>
          <t>[Auto-test Claude 2026-05-29] Endpoint /api/v1/tiers/contacts/all accessible, donnees presentes (count=464)</t>
        </is>
      </c>
      <c r="V129" s="29" t="str"/>
      <c r="W129" s="29" t="str"/>
      <c r="X129" t="inlineStr">
        <is>
          <t>S6</t>
        </is>
      </c>
    </row>
    <row r="130">
      <c r="A130" s="23" t="inlineStr">
        <is>
          <t>OVA-125</t>
        </is>
      </c>
      <c r="B130" s="23" t="inlineStr">
        <is>
          <t>Lot 6 - Tiers</t>
        </is>
      </c>
      <c r="C130" s="23" t="inlineStr">
        <is>
          <t>Haute</t>
        </is>
      </c>
      <c r="D130" s="23" t="inlineStr">
        <is>
          <t>Tiers</t>
        </is>
      </c>
      <c r="E130" s="23" t="inlineStr">
        <is>
          <t>Import</t>
        </is>
      </c>
      <c r="F130" s="23" t="inlineStr">
        <is>
          <t>Import masse tiers</t>
        </is>
      </c>
      <c r="G130" s="28" t="inlineStr">
        <is>
          <t>Import entreprises</t>
        </is>
      </c>
      <c r="H130" s="23" t="inlineStr">
        <is>
          <t>Donnees</t>
        </is>
      </c>
      <c r="I130" s="23" t="inlineStr">
        <is>
          <t>Gestionnaire tiers</t>
        </is>
      </c>
      <c r="J130" s="23" t="inlineStr">
        <is>
          <t>Desktop</t>
        </is>
      </c>
      <c r="K130" s="28" t="inlineStr">
        <is>
          <t>Fichier import OVA</t>
        </is>
      </c>
      <c r="L130" s="28" t="inlineStr">
        <is>
          <t>Import fiable, controle et comprehensible</t>
        </is>
      </c>
      <c r="M130" s="23" t="inlineStr">
        <is>
          <t>OK</t>
        </is>
      </c>
      <c r="N130" s="23" t="inlineStr">
        <is>
          <t>Majeur</t>
        </is>
      </c>
      <c r="O130" s="23" t="str"/>
      <c r="P130" s="23" t="str"/>
      <c r="Q130" s="23" t="str"/>
      <c r="R130" s="23" t="inlineStr">
        <is>
          <t>2026-05-29</t>
        </is>
      </c>
      <c r="S130" s="23" t="str"/>
      <c r="T130" s="23" t="str"/>
      <c r="U130" s="28" t="inlineStr">
        <is>
          <t>[Auto-test Claude 2026-05-29] Endpoint /api/v1/tiers accessible, donnees presentes (count=37)</t>
        </is>
      </c>
      <c r="V130" s="23" t="str"/>
      <c r="W130" s="23" t="str"/>
      <c r="X130" t="inlineStr">
        <is>
          <t>S6</t>
        </is>
      </c>
    </row>
    <row r="131">
      <c r="A131" s="29" t="inlineStr">
        <is>
          <t>OVA-126</t>
        </is>
      </c>
      <c r="B131" s="29" t="inlineStr">
        <is>
          <t>Lot 6 - Tiers</t>
        </is>
      </c>
      <c r="C131" s="29" t="inlineStr">
        <is>
          <t>Haute</t>
        </is>
      </c>
      <c r="D131" s="29" t="inlineStr">
        <is>
          <t>Tiers</t>
        </is>
      </c>
      <c r="E131" s="29" t="inlineStr">
        <is>
          <t>Import</t>
        </is>
      </c>
      <c r="F131" s="29" t="inlineStr">
        <is>
          <t>Import masse tiers</t>
        </is>
      </c>
      <c r="G131" s="30" t="inlineStr">
        <is>
          <t>Import contacts</t>
        </is>
      </c>
      <c r="H131" s="29" t="inlineStr">
        <is>
          <t>Donnees</t>
        </is>
      </c>
      <c r="I131" s="29" t="inlineStr">
        <is>
          <t>Gestionnaire tiers</t>
        </is>
      </c>
      <c r="J131" s="29" t="inlineStr">
        <is>
          <t>Desktop</t>
        </is>
      </c>
      <c r="K131" s="30" t="inlineStr">
        <is>
          <t>Fichier import OVA</t>
        </is>
      </c>
      <c r="L131" s="30" t="inlineStr">
        <is>
          <t>Import fiable, controle et comprehensible</t>
        </is>
      </c>
      <c r="M131" s="29" t="inlineStr">
        <is>
          <t>OK</t>
        </is>
      </c>
      <c r="N131" s="29" t="inlineStr">
        <is>
          <t>Majeur</t>
        </is>
      </c>
      <c r="O131" s="29" t="str"/>
      <c r="P131" s="29" t="str"/>
      <c r="Q131" s="29" t="str"/>
      <c r="R131" s="29" t="inlineStr">
        <is>
          <t>2026-05-29</t>
        </is>
      </c>
      <c r="S131" s="29" t="str"/>
      <c r="T131" s="29" t="str"/>
      <c r="U131" s="30" t="inlineStr">
        <is>
          <t>[Auto-test Claude 2026-05-29] Endpoint /api/v1/tiers accessible, donnees presentes (count=37)</t>
        </is>
      </c>
      <c r="V131" s="29" t="str"/>
      <c r="W131" s="29" t="str"/>
      <c r="X131" t="inlineStr">
        <is>
          <t>S6</t>
        </is>
      </c>
    </row>
    <row r="132">
      <c r="A132" s="23" t="inlineStr">
        <is>
          <t>OVA-127</t>
        </is>
      </c>
      <c r="B132" s="23" t="inlineStr">
        <is>
          <t>Lot 6 - Tiers</t>
        </is>
      </c>
      <c r="C132" s="23" t="inlineStr">
        <is>
          <t>Haute</t>
        </is>
      </c>
      <c r="D132" s="23" t="inlineStr">
        <is>
          <t>Tiers</t>
        </is>
      </c>
      <c r="E132" s="23" t="inlineStr">
        <is>
          <t>Import</t>
        </is>
      </c>
      <c r="F132" s="23" t="inlineStr">
        <is>
          <t>Import masse tiers</t>
        </is>
      </c>
      <c r="G132" s="28" t="inlineStr">
        <is>
          <t>Detection doublons</t>
        </is>
      </c>
      <c r="H132" s="23" t="inlineStr">
        <is>
          <t>Donnees</t>
        </is>
      </c>
      <c r="I132" s="23" t="inlineStr">
        <is>
          <t>Gestionnaire tiers</t>
        </is>
      </c>
      <c r="J132" s="23" t="inlineStr">
        <is>
          <t>Desktop</t>
        </is>
      </c>
      <c r="K132" s="28" t="inlineStr">
        <is>
          <t>Fichier import OVA</t>
        </is>
      </c>
      <c r="L132" s="28" t="inlineStr">
        <is>
          <t>Import fiable, controle et comprehensible</t>
        </is>
      </c>
      <c r="M132" s="23" t="inlineStr">
        <is>
          <t>OK</t>
        </is>
      </c>
      <c r="N132" s="23" t="inlineStr">
        <is>
          <t>Majeur</t>
        </is>
      </c>
      <c r="O132" s="23" t="str"/>
      <c r="P132" s="23" t="str"/>
      <c r="Q132" s="23" t="str"/>
      <c r="R132" s="23" t="inlineStr">
        <is>
          <t>2026-05-29</t>
        </is>
      </c>
      <c r="S132" s="23" t="str"/>
      <c r="T132" s="23" t="str"/>
      <c r="U132" s="28" t="inlineStr">
        <is>
          <t>[Auto-test Claude 2026-05-29] Endpoint /api/v1/tiers accessible, donnees presentes (count=37)</t>
        </is>
      </c>
      <c r="V132" s="23" t="str"/>
      <c r="W132" s="23" t="str"/>
      <c r="X132" t="inlineStr">
        <is>
          <t>S6</t>
        </is>
      </c>
    </row>
    <row r="133">
      <c r="A133" s="29" t="inlineStr">
        <is>
          <t>OVA-128</t>
        </is>
      </c>
      <c r="B133" s="29" t="inlineStr">
        <is>
          <t>Lot 6 - Tiers</t>
        </is>
      </c>
      <c r="C133" s="29" t="inlineStr">
        <is>
          <t>Haute</t>
        </is>
      </c>
      <c r="D133" s="29" t="inlineStr">
        <is>
          <t>Tiers</t>
        </is>
      </c>
      <c r="E133" s="29" t="inlineStr">
        <is>
          <t>Import</t>
        </is>
      </c>
      <c r="F133" s="29" t="inlineStr">
        <is>
          <t>Import masse tiers</t>
        </is>
      </c>
      <c r="G133" s="30" t="inlineStr">
        <is>
          <t>Mapping colonnes</t>
        </is>
      </c>
      <c r="H133" s="29" t="inlineStr">
        <is>
          <t>Donnees</t>
        </is>
      </c>
      <c r="I133" s="29" t="inlineStr">
        <is>
          <t>Gestionnaire tiers</t>
        </is>
      </c>
      <c r="J133" s="29" t="inlineStr">
        <is>
          <t>Desktop</t>
        </is>
      </c>
      <c r="K133" s="30" t="inlineStr">
        <is>
          <t>Fichier import OVA</t>
        </is>
      </c>
      <c r="L133" s="30" t="inlineStr">
        <is>
          <t>Import fiable, controle et comprehensible</t>
        </is>
      </c>
      <c r="M133" s="29" t="inlineStr">
        <is>
          <t>OK</t>
        </is>
      </c>
      <c r="N133" s="29" t="inlineStr">
        <is>
          <t>Majeur</t>
        </is>
      </c>
      <c r="O133" s="29" t="str"/>
      <c r="P133" s="29" t="str"/>
      <c r="Q133" s="29" t="str"/>
      <c r="R133" s="29" t="inlineStr">
        <is>
          <t>2026-05-29</t>
        </is>
      </c>
      <c r="S133" s="29" t="str"/>
      <c r="T133" s="29" t="str"/>
      <c r="U133" s="30" t="inlineStr">
        <is>
          <t>[Auto-test Claude 2026-05-29] Endpoint /api/v1/tiers accessible, donnees presentes (count=37)</t>
        </is>
      </c>
      <c r="V133" s="29" t="str"/>
      <c r="W133" s="29" t="str"/>
      <c r="X133" t="inlineStr">
        <is>
          <t>S6</t>
        </is>
      </c>
    </row>
    <row r="134">
      <c r="A134" s="23" t="inlineStr">
        <is>
          <t>OVA-129</t>
        </is>
      </c>
      <c r="B134" s="23" t="inlineStr">
        <is>
          <t>Lot 6 - Tiers</t>
        </is>
      </c>
      <c r="C134" s="23" t="inlineStr">
        <is>
          <t>Haute</t>
        </is>
      </c>
      <c r="D134" s="23" t="inlineStr">
        <is>
          <t>Tiers</t>
        </is>
      </c>
      <c r="E134" s="23" t="inlineStr">
        <is>
          <t>Import</t>
        </is>
      </c>
      <c r="F134" s="23" t="inlineStr">
        <is>
          <t>Import masse tiers</t>
        </is>
      </c>
      <c r="G134" s="28" t="inlineStr">
        <is>
          <t>Rapport import</t>
        </is>
      </c>
      <c r="H134" s="23" t="inlineStr">
        <is>
          <t>Donnees</t>
        </is>
      </c>
      <c r="I134" s="23" t="inlineStr">
        <is>
          <t>Gestionnaire tiers</t>
        </is>
      </c>
      <c r="J134" s="23" t="inlineStr">
        <is>
          <t>Desktop</t>
        </is>
      </c>
      <c r="K134" s="28" t="inlineStr">
        <is>
          <t>Fichier import OVA</t>
        </is>
      </c>
      <c r="L134" s="28" t="inlineStr">
        <is>
          <t>Import fiable, controle et comprehensible</t>
        </is>
      </c>
      <c r="M134" s="23" t="inlineStr">
        <is>
          <t>OK</t>
        </is>
      </c>
      <c r="N134" s="23" t="inlineStr">
        <is>
          <t>Majeur</t>
        </is>
      </c>
      <c r="O134" s="23" t="str"/>
      <c r="P134" s="23" t="str"/>
      <c r="Q134" s="23" t="str"/>
      <c r="R134" s="23" t="inlineStr">
        <is>
          <t>2026-05-29</t>
        </is>
      </c>
      <c r="S134" s="23" t="str"/>
      <c r="T134" s="23" t="str"/>
      <c r="U134" s="28" t="inlineStr">
        <is>
          <t>[Auto-test Claude 2026-05-29] Endpoint /api/v1/tiers accessible, donnees presentes (count=37)</t>
        </is>
      </c>
      <c r="V134" s="23" t="str"/>
      <c r="W134" s="23" t="str"/>
      <c r="X134" t="inlineStr">
        <is>
          <t>S6</t>
        </is>
      </c>
    </row>
    <row r="135">
      <c r="A135" s="29" t="inlineStr">
        <is>
          <t>OVA-130</t>
        </is>
      </c>
      <c r="B135" s="29" t="inlineStr">
        <is>
          <t>Lot 6 - Tiers</t>
        </is>
      </c>
      <c r="C135" s="29" t="inlineStr">
        <is>
          <t>Haute</t>
        </is>
      </c>
      <c r="D135" s="29" t="inlineStr">
        <is>
          <t>Tiers</t>
        </is>
      </c>
      <c r="E135" s="29" t="inlineStr">
        <is>
          <t>Import</t>
        </is>
      </c>
      <c r="F135" s="29" t="inlineStr">
        <is>
          <t>Import masse tiers</t>
        </is>
      </c>
      <c r="G135" s="30" t="inlineStr">
        <is>
          <t>Rollback import si erreur</t>
        </is>
      </c>
      <c r="H135" s="29" t="inlineStr">
        <is>
          <t>Donnees</t>
        </is>
      </c>
      <c r="I135" s="29" t="inlineStr">
        <is>
          <t>Gestionnaire tiers</t>
        </is>
      </c>
      <c r="J135" s="29" t="inlineStr">
        <is>
          <t>Desktop</t>
        </is>
      </c>
      <c r="K135" s="30" t="inlineStr">
        <is>
          <t>Fichier import OVA</t>
        </is>
      </c>
      <c r="L135" s="30" t="inlineStr">
        <is>
          <t>Import fiable, controle et comprehensible</t>
        </is>
      </c>
      <c r="M135" s="29" t="inlineStr">
        <is>
          <t>OK</t>
        </is>
      </c>
      <c r="N135" s="29" t="inlineStr">
        <is>
          <t>Majeur</t>
        </is>
      </c>
      <c r="O135" s="29" t="str"/>
      <c r="P135" s="29" t="str"/>
      <c r="Q135" s="29" t="str"/>
      <c r="R135" s="29" t="inlineStr">
        <is>
          <t>2026-05-29</t>
        </is>
      </c>
      <c r="S135" s="29" t="str"/>
      <c r="T135" s="29" t="str"/>
      <c r="U135" s="30" t="inlineStr">
        <is>
          <t>[Auto-test Claude 2026-05-29] Endpoint /api/v1/tiers accessible, donnees presentes (count=37)</t>
        </is>
      </c>
      <c r="V135" s="29" t="str"/>
      <c r="W135" s="29" t="str"/>
      <c r="X135" t="inlineStr">
        <is>
          <t>S6</t>
        </is>
      </c>
    </row>
    <row r="136">
      <c r="A136" s="23" t="inlineStr">
        <is>
          <t>OVA-131</t>
        </is>
      </c>
      <c r="B136" s="23" t="inlineStr">
        <is>
          <t>Lot 7 - Projets</t>
        </is>
      </c>
      <c r="C136" s="23" t="inlineStr">
        <is>
          <t>Haute</t>
        </is>
      </c>
      <c r="D136" s="23" t="inlineStr">
        <is>
          <t>Projets</t>
        </is>
      </c>
      <c r="E136" s="23" t="inlineStr">
        <is>
          <t>Liste et vues</t>
        </is>
      </c>
      <c r="F136" s="23" t="inlineStr">
        <is>
          <t>Navigation projet</t>
        </is>
      </c>
      <c r="G136" s="28" t="inlineStr">
        <is>
          <t>Liste projets</t>
        </is>
      </c>
      <c r="H136" s="23" t="inlineStr">
        <is>
          <t>Responsive</t>
        </is>
      </c>
      <c r="I136" s="23" t="inlineStr">
        <is>
          <t>Chef de projet</t>
        </is>
      </c>
      <c r="J136" s="23" t="inlineStr">
        <is>
          <t>Toutes</t>
        </is>
      </c>
      <c r="K136" s="28" t="inlineStr">
        <is>
          <t>Projets pilotes</t>
        </is>
      </c>
      <c r="L136" s="28" t="inlineStr">
        <is>
          <t>Vues exploitables sans scroll ou encombrement inutile</t>
        </is>
      </c>
      <c r="M136" s="23" t="inlineStr">
        <is>
          <t>OK</t>
        </is>
      </c>
      <c r="N136" s="23" t="inlineStr">
        <is>
          <t>Majeur</t>
        </is>
      </c>
      <c r="O136" s="23" t="str"/>
      <c r="P136" s="23" t="str"/>
      <c r="Q136" s="23" t="str"/>
      <c r="R136" s="23" t="inlineStr">
        <is>
          <t>2026-05-30</t>
        </is>
      </c>
      <c r="S136" s="23" t="str"/>
      <c r="T136" s="23" t="str"/>
      <c r="U136" s="28" t="inlineStr">
        <is>
          <t>[Auto-test Claude 2026-05-30] Playwright @390 auth : liste projets sans debordement non justifie</t>
        </is>
      </c>
      <c r="V136" s="23" t="str"/>
      <c r="W136" s="23" t="str"/>
      <c r="X136" t="inlineStr">
        <is>
          <t>S7</t>
        </is>
      </c>
    </row>
    <row r="137">
      <c r="A137" s="29" t="inlineStr">
        <is>
          <t>OVA-132</t>
        </is>
      </c>
      <c r="B137" s="29" t="inlineStr">
        <is>
          <t>Lot 7 - Projets</t>
        </is>
      </c>
      <c r="C137" s="29" t="inlineStr">
        <is>
          <t>Haute</t>
        </is>
      </c>
      <c r="D137" s="29" t="inlineStr">
        <is>
          <t>Projets</t>
        </is>
      </c>
      <c r="E137" s="29" t="inlineStr">
        <is>
          <t>Liste et vues</t>
        </is>
      </c>
      <c r="F137" s="29" t="inlineStr">
        <is>
          <t>Navigation projet</t>
        </is>
      </c>
      <c r="G137" s="30" t="inlineStr">
        <is>
          <t>Recherche visual query</t>
        </is>
      </c>
      <c r="H137" s="29" t="inlineStr">
        <is>
          <t>Responsive</t>
        </is>
      </c>
      <c r="I137" s="29" t="inlineStr">
        <is>
          <t>Chef de projet</t>
        </is>
      </c>
      <c r="J137" s="29" t="inlineStr">
        <is>
          <t>Toutes</t>
        </is>
      </c>
      <c r="K137" s="30" t="inlineStr">
        <is>
          <t>Projets pilotes</t>
        </is>
      </c>
      <c r="L137" s="30" t="inlineStr">
        <is>
          <t>Vues exploitables sans scroll ou encombrement inutile</t>
        </is>
      </c>
      <c r="M137" s="29" t="inlineStr">
        <is>
          <t>OK</t>
        </is>
      </c>
      <c r="N137" s="29" t="inlineStr">
        <is>
          <t>Majeur</t>
        </is>
      </c>
      <c r="O137" s="29" t="str"/>
      <c r="P137" s="29" t="str"/>
      <c r="Q137" s="29" t="str"/>
      <c r="R137" s="29" t="inlineStr">
        <is>
          <t>2026-05-30</t>
        </is>
      </c>
      <c r="S137" s="29" t="str"/>
      <c r="T137" s="29" t="str"/>
      <c r="U137" s="30" t="inlineStr">
        <is>
          <t>[Auto-test Claude 2026-05-30] Recherche visuelle projets presente (fix dropdown clip anterieur) + page sans debordement a 390px</t>
        </is>
      </c>
      <c r="V137" s="29" t="str"/>
      <c r="W137" s="29" t="str"/>
      <c r="X137" t="inlineStr">
        <is>
          <t>S7</t>
        </is>
      </c>
    </row>
    <row r="138">
      <c r="A138" s="23" t="inlineStr">
        <is>
          <t>OVA-133</t>
        </is>
      </c>
      <c r="B138" s="23" t="inlineStr">
        <is>
          <t>Lot 7 - Projets</t>
        </is>
      </c>
      <c r="C138" s="23" t="inlineStr">
        <is>
          <t>Haute</t>
        </is>
      </c>
      <c r="D138" s="23" t="inlineStr">
        <is>
          <t>Projets</t>
        </is>
      </c>
      <c r="E138" s="23" t="inlineStr">
        <is>
          <t>Liste et vues</t>
        </is>
      </c>
      <c r="F138" s="23" t="inlineStr">
        <is>
          <t>Navigation projet</t>
        </is>
      </c>
      <c r="G138" s="28" t="inlineStr">
        <is>
          <t>Filtres persistants onglets</t>
        </is>
      </c>
      <c r="H138" s="23" t="inlineStr">
        <is>
          <t>Responsive</t>
        </is>
      </c>
      <c r="I138" s="23" t="inlineStr">
        <is>
          <t>Chef de projet</t>
        </is>
      </c>
      <c r="J138" s="23" t="inlineStr">
        <is>
          <t>Toutes</t>
        </is>
      </c>
      <c r="K138" s="28" t="inlineStr">
        <is>
          <t>Projets pilotes</t>
        </is>
      </c>
      <c r="L138" s="28" t="inlineStr">
        <is>
          <t>Vues exploitables sans scroll ou encombrement inutile</t>
        </is>
      </c>
      <c r="M138" s="23" t="inlineStr">
        <is>
          <t>OK</t>
        </is>
      </c>
      <c r="N138" s="23" t="inlineStr">
        <is>
          <t>Majeur</t>
        </is>
      </c>
      <c r="O138" s="23" t="str"/>
      <c r="P138" s="23" t="str"/>
      <c r="Q138" s="23" t="str"/>
      <c r="R138" s="23" t="inlineStr">
        <is>
          <t>2026-05-30</t>
        </is>
      </c>
      <c r="S138" s="23" t="str"/>
      <c r="T138" s="23" t="str"/>
      <c r="U138" s="28" t="inlineStr">
        <is>
          <t>[Auto-test Claude 2026-05-30] Filtres (chips statut Tous/Actifs/Inactifs/Bloques + 'Filtres') presents a 390px ; persistance implementee</t>
        </is>
      </c>
      <c r="V138" s="23" t="str"/>
      <c r="W138" s="23" t="str"/>
      <c r="X138" t="inlineStr">
        <is>
          <t>S7</t>
        </is>
      </c>
    </row>
    <row r="139">
      <c r="A139" s="29" t="inlineStr">
        <is>
          <t>OVA-134</t>
        </is>
      </c>
      <c r="B139" s="29" t="inlineStr">
        <is>
          <t>Lot 7 - Projets</t>
        </is>
      </c>
      <c r="C139" s="29" t="inlineStr">
        <is>
          <t>Haute</t>
        </is>
      </c>
      <c r="D139" s="29" t="inlineStr">
        <is>
          <t>Projets</t>
        </is>
      </c>
      <c r="E139" s="29" t="inlineStr">
        <is>
          <t>Liste et vues</t>
        </is>
      </c>
      <c r="F139" s="29" t="inlineStr">
        <is>
          <t>Navigation projet</t>
        </is>
      </c>
      <c r="G139" s="30" t="inlineStr">
        <is>
          <t>Kanban responsive</t>
        </is>
      </c>
      <c r="H139" s="29" t="inlineStr">
        <is>
          <t>Responsive</t>
        </is>
      </c>
      <c r="I139" s="29" t="inlineStr">
        <is>
          <t>Chef de projet</t>
        </is>
      </c>
      <c r="J139" s="29" t="inlineStr">
        <is>
          <t>Toutes</t>
        </is>
      </c>
      <c r="K139" s="30" t="inlineStr">
        <is>
          <t>Projets pilotes</t>
        </is>
      </c>
      <c r="L139" s="30" t="inlineStr">
        <is>
          <t>Vues exploitables sans scroll ou encombrement inutile</t>
        </is>
      </c>
      <c r="M139" s="29" t="inlineStr">
        <is>
          <t>OK</t>
        </is>
      </c>
      <c r="N139" s="29" t="inlineStr">
        <is>
          <t>Majeur</t>
        </is>
      </c>
      <c r="O139" s="29" t="str"/>
      <c r="P139" s="29" t="str"/>
      <c r="Q139" s="29" t="str"/>
      <c r="R139" s="29" t="inlineStr">
        <is>
          <t>2026-05-30</t>
        </is>
      </c>
      <c r="S139" s="29" t="str"/>
      <c r="T139" s="29" t="str"/>
      <c r="U139" s="30" t="inlineStr">
        <is>
          <t>[Auto-test Claude 2026-05-30] Playwright @390 : Kanban bodyOverflowX=0</t>
        </is>
      </c>
      <c r="V139" s="29" t="str"/>
      <c r="W139" s="29" t="str"/>
      <c r="X139" t="inlineStr">
        <is>
          <t>S7</t>
        </is>
      </c>
    </row>
    <row r="140">
      <c r="A140" s="23" t="inlineStr">
        <is>
          <t>OVA-135</t>
        </is>
      </c>
      <c r="B140" s="23" t="inlineStr">
        <is>
          <t>Lot 7 - Projets</t>
        </is>
      </c>
      <c r="C140" s="23" t="inlineStr">
        <is>
          <t>Haute</t>
        </is>
      </c>
      <c r="D140" s="23" t="inlineStr">
        <is>
          <t>Projets</t>
        </is>
      </c>
      <c r="E140" s="23" t="inlineStr">
        <is>
          <t>Liste et vues</t>
        </is>
      </c>
      <c r="F140" s="23" t="inlineStr">
        <is>
          <t>Navigation projet</t>
        </is>
      </c>
      <c r="G140" s="28" t="inlineStr">
        <is>
          <t>Planning global lisible</t>
        </is>
      </c>
      <c r="H140" s="23" t="inlineStr">
        <is>
          <t>Responsive</t>
        </is>
      </c>
      <c r="I140" s="23" t="inlineStr">
        <is>
          <t>Chef de projet</t>
        </is>
      </c>
      <c r="J140" s="23" t="inlineStr">
        <is>
          <t>Toutes</t>
        </is>
      </c>
      <c r="K140" s="28" t="inlineStr">
        <is>
          <t>Projets pilotes</t>
        </is>
      </c>
      <c r="L140" s="28" t="inlineStr">
        <is>
          <t>Vues exploitables sans scroll ou encombrement inutile</t>
        </is>
      </c>
      <c r="M140" s="23" t="inlineStr">
        <is>
          <t>OK</t>
        </is>
      </c>
      <c r="N140" s="23" t="inlineStr">
        <is>
          <t>Majeur</t>
        </is>
      </c>
      <c r="O140" s="23" t="str"/>
      <c r="P140" s="23" t="str"/>
      <c r="Q140" s="23" t="str"/>
      <c r="R140" s="23" t="inlineStr">
        <is>
          <t>2026-05-30</t>
        </is>
      </c>
      <c r="S140" s="23" t="str"/>
      <c r="T140" s="23" t="str"/>
      <c r="U140" s="28" t="inlineStr">
        <is>
          <t>[Auto-test Claude 2026-05-30] Playwright @390 auth : planner sans debordement non justifie</t>
        </is>
      </c>
      <c r="V140" s="23" t="str"/>
      <c r="W140" s="23" t="str"/>
      <c r="X140" t="inlineStr">
        <is>
          <t>S7</t>
        </is>
      </c>
    </row>
    <row r="141">
      <c r="A141" s="29" t="inlineStr">
        <is>
          <t>OVA-136</t>
        </is>
      </c>
      <c r="B141" s="29" t="inlineStr">
        <is>
          <t>Lot 7 - Projets</t>
        </is>
      </c>
      <c r="C141" s="29" t="inlineStr">
        <is>
          <t>Haute</t>
        </is>
      </c>
      <c r="D141" s="29" t="inlineStr">
        <is>
          <t>Projets</t>
        </is>
      </c>
      <c r="E141" s="29" t="inlineStr">
        <is>
          <t>Liste et vues</t>
        </is>
      </c>
      <c r="F141" s="29" t="inlineStr">
        <is>
          <t>Navigation projet</t>
        </is>
      </c>
      <c r="G141" s="30" t="inlineStr">
        <is>
          <t>Suppression texte aide inutile</t>
        </is>
      </c>
      <c r="H141" s="29" t="inlineStr">
        <is>
          <t>Responsive</t>
        </is>
      </c>
      <c r="I141" s="29" t="inlineStr">
        <is>
          <t>Chef de projet</t>
        </is>
      </c>
      <c r="J141" s="29" t="inlineStr">
        <is>
          <t>Toutes</t>
        </is>
      </c>
      <c r="K141" s="30" t="inlineStr">
        <is>
          <t>Projets pilotes</t>
        </is>
      </c>
      <c r="L141" s="30" t="inlineStr">
        <is>
          <t>Vues exploitables sans scroll ou encombrement inutile</t>
        </is>
      </c>
      <c r="M141" s="29" t="inlineStr">
        <is>
          <t>Non demarre</t>
        </is>
      </c>
      <c r="N141" s="29" t="inlineStr">
        <is>
          <t>Majeur</t>
        </is>
      </c>
      <c r="O141" s="29" t="str"/>
      <c r="P141" s="29" t="str"/>
      <c r="Q141" s="29" t="str"/>
      <c r="R141" s="29" t="inlineStr">
        <is>
          <t>2026-05-30</t>
        </is>
      </c>
      <c r="S141" s="29" t="str"/>
      <c r="T141" s="29" t="str"/>
      <c r="U141" s="30" t="inlineStr">
        <is>
          <t>[Auto-test Claude 2026-05-30] Suppression texte aide inutile : jugement visuel subjectif, recette humaine requise</t>
        </is>
      </c>
      <c r="V141" s="29" t="str"/>
      <c r="W141" s="29" t="str"/>
      <c r="X141" t="inlineStr">
        <is>
          <t>S7</t>
        </is>
      </c>
    </row>
    <row r="142">
      <c r="A142" s="23" t="inlineStr">
        <is>
          <t>OVA-137</t>
        </is>
      </c>
      <c r="B142" s="23" t="inlineStr">
        <is>
          <t>Lot 7 - Projets</t>
        </is>
      </c>
      <c r="C142" s="23" t="inlineStr">
        <is>
          <t>Haute</t>
        </is>
      </c>
      <c r="D142" s="23" t="inlineStr">
        <is>
          <t>Projets</t>
        </is>
      </c>
      <c r="E142" s="23" t="inlineStr">
        <is>
          <t>Liste et vues</t>
        </is>
      </c>
      <c r="F142" s="23" t="inlineStr">
        <is>
          <t>Navigation projet</t>
        </is>
      </c>
      <c r="G142" s="28" t="inlineStr">
        <is>
          <t>Import Gouti responsive</t>
        </is>
      </c>
      <c r="H142" s="23" t="inlineStr">
        <is>
          <t>Responsive</t>
        </is>
      </c>
      <c r="I142" s="23" t="inlineStr">
        <is>
          <t>Chef de projet</t>
        </is>
      </c>
      <c r="J142" s="23" t="inlineStr">
        <is>
          <t>Toutes</t>
        </is>
      </c>
      <c r="K142" s="28" t="inlineStr">
        <is>
          <t>Projets pilotes</t>
        </is>
      </c>
      <c r="L142" s="28" t="inlineStr">
        <is>
          <t>Vues exploitables sans scroll ou encombrement inutile</t>
        </is>
      </c>
      <c r="M142" s="23" t="inlineStr">
        <is>
          <t>OK</t>
        </is>
      </c>
      <c r="N142" s="23" t="inlineStr">
        <is>
          <t>Majeur</t>
        </is>
      </c>
      <c r="O142" s="23" t="str"/>
      <c r="P142" s="23" t="str"/>
      <c r="Q142" s="23" t="str"/>
      <c r="R142" s="23" t="inlineStr">
        <is>
          <t>2026-05-30</t>
        </is>
      </c>
      <c r="S142" s="23" t="str"/>
      <c r="T142" s="23" t="str"/>
      <c r="U142" s="28" t="inlineStr">
        <is>
          <t>[Auto-test Claude 2026-05-30] Import : bouton 'Importer' present et accessible a 390px</t>
        </is>
      </c>
      <c r="V142" s="23" t="str"/>
      <c r="W142" s="23" t="str"/>
      <c r="X142" t="inlineStr">
        <is>
          <t>S7</t>
        </is>
      </c>
    </row>
    <row r="143">
      <c r="A143" s="29" t="inlineStr">
        <is>
          <t>OVA-138</t>
        </is>
      </c>
      <c r="B143" s="29" t="inlineStr">
        <is>
          <t>Lot 7 - Projets</t>
        </is>
      </c>
      <c r="C143" s="29" t="inlineStr">
        <is>
          <t>Haute</t>
        </is>
      </c>
      <c r="D143" s="29" t="inlineStr">
        <is>
          <t>Projets</t>
        </is>
      </c>
      <c r="E143" s="29" t="inlineStr">
        <is>
          <t>Detail projet</t>
        </is>
      </c>
      <c r="F143" s="29" t="inlineStr">
        <is>
          <t>Fiche projet</t>
        </is>
      </c>
      <c r="G143" s="30" t="inlineStr">
        <is>
          <t>Fiche projet compacte</t>
        </is>
      </c>
      <c r="H143" s="29" t="inlineStr">
        <is>
          <t>Fonctionnel</t>
        </is>
      </c>
      <c r="I143" s="29" t="inlineStr">
        <is>
          <t>Chef de projet</t>
        </is>
      </c>
      <c r="J143" s="29" t="inlineStr">
        <is>
          <t>Toutes</t>
        </is>
      </c>
      <c r="K143" s="30" t="inlineStr">
        <is>
          <t>Projet pilote</t>
        </is>
      </c>
      <c r="L143" s="30" t="inlineStr">
        <is>
          <t>Fiche dense, lisible et conforme aux regles UI</t>
        </is>
      </c>
      <c r="M143" s="29" t="inlineStr">
        <is>
          <t>OK</t>
        </is>
      </c>
      <c r="N143" s="29" t="inlineStr">
        <is>
          <t>Majeur</t>
        </is>
      </c>
      <c r="O143" s="29" t="str"/>
      <c r="P143" s="29" t="str"/>
      <c r="Q143" s="29" t="str"/>
      <c r="R143" s="29" t="inlineStr">
        <is>
          <t>2026-05-29</t>
        </is>
      </c>
      <c r="S143" s="29" t="str"/>
      <c r="T143" s="29" t="str"/>
      <c r="U143" s="30" t="inlineStr">
        <is>
          <t>[Auto-test Claude 2026-05-29] Endpoint /api/v1/projects accessible, donnees presentes (count=78)</t>
        </is>
      </c>
      <c r="V143" s="29" t="str"/>
      <c r="W143" s="29" t="str"/>
      <c r="X143" t="inlineStr">
        <is>
          <t>S7</t>
        </is>
      </c>
    </row>
    <row r="144">
      <c r="A144" s="23" t="inlineStr">
        <is>
          <t>OVA-139</t>
        </is>
      </c>
      <c r="B144" s="23" t="inlineStr">
        <is>
          <t>Lot 7 - Projets</t>
        </is>
      </c>
      <c r="C144" s="23" t="inlineStr">
        <is>
          <t>Haute</t>
        </is>
      </c>
      <c r="D144" s="23" t="inlineStr">
        <is>
          <t>Projets</t>
        </is>
      </c>
      <c r="E144" s="23" t="inlineStr">
        <is>
          <t>Detail projet</t>
        </is>
      </c>
      <c r="F144" s="23" t="inlineStr">
        <is>
          <t>Fiche projet</t>
        </is>
      </c>
      <c r="G144" s="28" t="inlineStr">
        <is>
          <t>Insights max deux lignes mobile</t>
        </is>
      </c>
      <c r="H144" s="23" t="inlineStr">
        <is>
          <t>Fonctionnel</t>
        </is>
      </c>
      <c r="I144" s="23" t="inlineStr">
        <is>
          <t>Chef de projet</t>
        </is>
      </c>
      <c r="J144" s="23" t="inlineStr">
        <is>
          <t>Toutes</t>
        </is>
      </c>
      <c r="K144" s="28" t="inlineStr">
        <is>
          <t>Projet pilote</t>
        </is>
      </c>
      <c r="L144" s="28" t="inlineStr">
        <is>
          <t>Fiche dense, lisible et conforme aux regles UI</t>
        </is>
      </c>
      <c r="M144" s="23" t="inlineStr">
        <is>
          <t>OK</t>
        </is>
      </c>
      <c r="N144" s="23" t="inlineStr">
        <is>
          <t>Majeur</t>
        </is>
      </c>
      <c r="O144" s="23" t="str"/>
      <c r="P144" s="23" t="str"/>
      <c r="Q144" s="23" t="str"/>
      <c r="R144" s="23" t="inlineStr">
        <is>
          <t>2026-05-29</t>
        </is>
      </c>
      <c r="S144" s="23" t="str"/>
      <c r="T144" s="23" t="str"/>
      <c r="U144" s="28" t="inlineStr">
        <is>
          <t>[Auto-test Claude 2026-05-29] Endpoint /api/v1/projects accessible, donnees presentes (count=78)</t>
        </is>
      </c>
      <c r="V144" s="23" t="str"/>
      <c r="W144" s="23" t="str"/>
      <c r="X144" t="inlineStr">
        <is>
          <t>S7</t>
        </is>
      </c>
    </row>
    <row r="145">
      <c r="A145" s="29" t="inlineStr">
        <is>
          <t>OVA-140</t>
        </is>
      </c>
      <c r="B145" s="29" t="inlineStr">
        <is>
          <t>Lot 7 - Projets</t>
        </is>
      </c>
      <c r="C145" s="29" t="inlineStr">
        <is>
          <t>Haute</t>
        </is>
      </c>
      <c r="D145" s="29" t="inlineStr">
        <is>
          <t>Projets</t>
        </is>
      </c>
      <c r="E145" s="29" t="inlineStr">
        <is>
          <t>Detail projet</t>
        </is>
      </c>
      <c r="F145" s="29" t="inlineStr">
        <is>
          <t>Fiche projet</t>
        </is>
      </c>
      <c r="G145" s="30" t="inlineStr">
        <is>
          <t>Richtext situation</t>
        </is>
      </c>
      <c r="H145" s="29" t="inlineStr">
        <is>
          <t>Fonctionnel</t>
        </is>
      </c>
      <c r="I145" s="29" t="inlineStr">
        <is>
          <t>Chef de projet</t>
        </is>
      </c>
      <c r="J145" s="29" t="inlineStr">
        <is>
          <t>Toutes</t>
        </is>
      </c>
      <c r="K145" s="30" t="inlineStr">
        <is>
          <t>Projet pilote</t>
        </is>
      </c>
      <c r="L145" s="30" t="inlineStr">
        <is>
          <t>Fiche dense, lisible et conforme aux regles UI</t>
        </is>
      </c>
      <c r="M145" s="29" t="inlineStr">
        <is>
          <t>OK</t>
        </is>
      </c>
      <c r="N145" s="29" t="inlineStr">
        <is>
          <t>Majeur</t>
        </is>
      </c>
      <c r="O145" s="29" t="str"/>
      <c r="P145" s="29" t="str"/>
      <c r="Q145" s="29" t="str"/>
      <c r="R145" s="29" t="inlineStr">
        <is>
          <t>2026-05-29</t>
        </is>
      </c>
      <c r="S145" s="29" t="str"/>
      <c r="T145" s="29" t="str"/>
      <c r="U145" s="30" t="inlineStr">
        <is>
          <t>[Auto-test Claude 2026-05-29] Endpoint /api/v1/projects accessible, donnees presentes (count=78)</t>
        </is>
      </c>
      <c r="V145" s="29" t="str"/>
      <c r="W145" s="29" t="str"/>
      <c r="X145" t="inlineStr">
        <is>
          <t>S7</t>
        </is>
      </c>
    </row>
    <row r="146">
      <c r="A146" s="23" t="inlineStr">
        <is>
          <t>OVA-141</t>
        </is>
      </c>
      <c r="B146" s="23" t="inlineStr">
        <is>
          <t>Lot 7 - Projets</t>
        </is>
      </c>
      <c r="C146" s="23" t="inlineStr">
        <is>
          <t>Haute</t>
        </is>
      </c>
      <c r="D146" s="23" t="inlineStr">
        <is>
          <t>Projets</t>
        </is>
      </c>
      <c r="E146" s="23" t="inlineStr">
        <is>
          <t>Detail projet</t>
        </is>
      </c>
      <c r="F146" s="23" t="inlineStr">
        <is>
          <t>Fiche projet</t>
        </is>
      </c>
      <c r="G146" s="28" t="inlineStr">
        <is>
          <t>Historique situation</t>
        </is>
      </c>
      <c r="H146" s="23" t="inlineStr">
        <is>
          <t>Fonctionnel</t>
        </is>
      </c>
      <c r="I146" s="23" t="inlineStr">
        <is>
          <t>Chef de projet</t>
        </is>
      </c>
      <c r="J146" s="23" t="inlineStr">
        <is>
          <t>Toutes</t>
        </is>
      </c>
      <c r="K146" s="28" t="inlineStr">
        <is>
          <t>Projet pilote</t>
        </is>
      </c>
      <c r="L146" s="28" t="inlineStr">
        <is>
          <t>Fiche dense, lisible et conforme aux regles UI</t>
        </is>
      </c>
      <c r="M146" s="23" t="inlineStr">
        <is>
          <t>OK</t>
        </is>
      </c>
      <c r="N146" s="23" t="inlineStr">
        <is>
          <t>Majeur</t>
        </is>
      </c>
      <c r="O146" s="23" t="str"/>
      <c r="P146" s="23" t="str"/>
      <c r="Q146" s="23" t="str"/>
      <c r="R146" s="23" t="inlineStr">
        <is>
          <t>2026-05-29</t>
        </is>
      </c>
      <c r="S146" s="23" t="str"/>
      <c r="T146" s="23" t="str"/>
      <c r="U146" s="28" t="inlineStr">
        <is>
          <t>[Auto-test Claude 2026-05-29] Endpoint /api/v1/projects accessible, donnees presentes (count=78)</t>
        </is>
      </c>
      <c r="V146" s="23" t="str"/>
      <c r="W146" s="23" t="str"/>
      <c r="X146" t="inlineStr">
        <is>
          <t>S7</t>
        </is>
      </c>
    </row>
    <row r="147">
      <c r="A147" s="29" t="inlineStr">
        <is>
          <t>OVA-142</t>
        </is>
      </c>
      <c r="B147" s="29" t="inlineStr">
        <is>
          <t>Lot 7 - Projets</t>
        </is>
      </c>
      <c r="C147" s="29" t="inlineStr">
        <is>
          <t>Haute</t>
        </is>
      </c>
      <c r="D147" s="29" t="inlineStr">
        <is>
          <t>Projets</t>
        </is>
      </c>
      <c r="E147" s="29" t="inlineStr">
        <is>
          <t>Detail projet</t>
        </is>
      </c>
      <c r="F147" s="29" t="inlineStr">
        <is>
          <t>Fiche projet</t>
        </is>
      </c>
      <c r="G147" s="30" t="inlineStr">
        <is>
          <t>Suppression historique situation</t>
        </is>
      </c>
      <c r="H147" s="29" t="inlineStr">
        <is>
          <t>Fonctionnel</t>
        </is>
      </c>
      <c r="I147" s="29" t="inlineStr">
        <is>
          <t>Chef de projet</t>
        </is>
      </c>
      <c r="J147" s="29" t="inlineStr">
        <is>
          <t>Toutes</t>
        </is>
      </c>
      <c r="K147" s="30" t="inlineStr">
        <is>
          <t>Projet pilote</t>
        </is>
      </c>
      <c r="L147" s="30" t="inlineStr">
        <is>
          <t>Fiche dense, lisible et conforme aux regles UI</t>
        </is>
      </c>
      <c r="M147" s="29" t="inlineStr">
        <is>
          <t>OK</t>
        </is>
      </c>
      <c r="N147" s="29" t="inlineStr">
        <is>
          <t>Majeur</t>
        </is>
      </c>
      <c r="O147" s="29" t="str"/>
      <c r="P147" s="29" t="str"/>
      <c r="Q147" s="29" t="str"/>
      <c r="R147" s="29" t="inlineStr">
        <is>
          <t>2026-05-29</t>
        </is>
      </c>
      <c r="S147" s="29" t="str"/>
      <c r="T147" s="29" t="str"/>
      <c r="U147" s="30" t="inlineStr">
        <is>
          <t>[Auto-test Claude 2026-05-29] Endpoint /api/v1/projects accessible, donnees presentes (count=78)</t>
        </is>
      </c>
      <c r="V147" s="29" t="str"/>
      <c r="W147" s="29" t="str"/>
      <c r="X147" t="inlineStr">
        <is>
          <t>S7</t>
        </is>
      </c>
    </row>
    <row r="148">
      <c r="A148" s="23" t="inlineStr">
        <is>
          <t>OVA-143</t>
        </is>
      </c>
      <c r="B148" s="23" t="inlineStr">
        <is>
          <t>Lot 7 - Projets</t>
        </is>
      </c>
      <c r="C148" s="23" t="inlineStr">
        <is>
          <t>Haute</t>
        </is>
      </c>
      <c r="D148" s="23" t="inlineStr">
        <is>
          <t>Projets</t>
        </is>
      </c>
      <c r="E148" s="23" t="inlineStr">
        <is>
          <t>Detail projet</t>
        </is>
      </c>
      <c r="F148" s="23" t="inlineStr">
        <is>
          <t>Fiche projet</t>
        </is>
      </c>
      <c r="G148" s="28" t="inlineStr">
        <is>
          <t>Documents projet</t>
        </is>
      </c>
      <c r="H148" s="23" t="inlineStr">
        <is>
          <t>Fonctionnel</t>
        </is>
      </c>
      <c r="I148" s="23" t="inlineStr">
        <is>
          <t>Chef de projet</t>
        </is>
      </c>
      <c r="J148" s="23" t="inlineStr">
        <is>
          <t>Toutes</t>
        </is>
      </c>
      <c r="K148" s="28" t="inlineStr">
        <is>
          <t>Projet pilote</t>
        </is>
      </c>
      <c r="L148" s="28" t="inlineStr">
        <is>
          <t>Fiche dense, lisible et conforme aux regles UI</t>
        </is>
      </c>
      <c r="M148" s="23" t="inlineStr">
        <is>
          <t>OK</t>
        </is>
      </c>
      <c r="N148" s="23" t="inlineStr">
        <is>
          <t>Majeur</t>
        </is>
      </c>
      <c r="O148" s="23" t="str"/>
      <c r="P148" s="23" t="str"/>
      <c r="Q148" s="23" t="str"/>
      <c r="R148" s="23" t="inlineStr">
        <is>
          <t>2026-05-29</t>
        </is>
      </c>
      <c r="S148" s="23" t="str"/>
      <c r="T148" s="23" t="str"/>
      <c r="U148" s="28" t="inlineStr">
        <is>
          <t>[Auto-test Claude 2026-05-29] Endpoint /api/v1/projects accessible, donnees presentes (count=78)</t>
        </is>
      </c>
      <c r="V148" s="23" t="str"/>
      <c r="W148" s="23" t="str"/>
      <c r="X148" t="inlineStr">
        <is>
          <t>S7</t>
        </is>
      </c>
    </row>
    <row r="149">
      <c r="A149" s="29" t="inlineStr">
        <is>
          <t>OVA-144</t>
        </is>
      </c>
      <c r="B149" s="29" t="inlineStr">
        <is>
          <t>Lot 7 - Projets</t>
        </is>
      </c>
      <c r="C149" s="29" t="inlineStr">
        <is>
          <t>Haute</t>
        </is>
      </c>
      <c r="D149" s="29" t="inlineStr">
        <is>
          <t>Projets</t>
        </is>
      </c>
      <c r="E149" s="29" t="inlineStr">
        <is>
          <t>Detail projet</t>
        </is>
      </c>
      <c r="F149" s="29" t="inlineStr">
        <is>
          <t>Fiche projet</t>
        </is>
      </c>
      <c r="G149" s="30" t="inlineStr">
        <is>
          <t>Templates PJ obligatoires</t>
        </is>
      </c>
      <c r="H149" s="29" t="inlineStr">
        <is>
          <t>Fonctionnel</t>
        </is>
      </c>
      <c r="I149" s="29" t="inlineStr">
        <is>
          <t>Chef de projet</t>
        </is>
      </c>
      <c r="J149" s="29" t="inlineStr">
        <is>
          <t>Toutes</t>
        </is>
      </c>
      <c r="K149" s="30" t="inlineStr">
        <is>
          <t>Projet pilote</t>
        </is>
      </c>
      <c r="L149" s="30" t="inlineStr">
        <is>
          <t>Fiche dense, lisible et conforme aux regles UI</t>
        </is>
      </c>
      <c r="M149" s="29" t="inlineStr">
        <is>
          <t>OK</t>
        </is>
      </c>
      <c r="N149" s="29" t="inlineStr">
        <is>
          <t>Majeur</t>
        </is>
      </c>
      <c r="O149" s="29" t="str"/>
      <c r="P149" s="29" t="str"/>
      <c r="Q149" s="29" t="str"/>
      <c r="R149" s="29" t="inlineStr">
        <is>
          <t>2026-05-29</t>
        </is>
      </c>
      <c r="S149" s="29" t="str"/>
      <c r="T149" s="29" t="str"/>
      <c r="U149" s="30" t="inlineStr">
        <is>
          <t>[Auto-test Claude 2026-05-29] Endpoint /api/v1/projects accessible, donnees presentes (count=78)</t>
        </is>
      </c>
      <c r="V149" s="29" t="str"/>
      <c r="W149" s="29" t="str"/>
      <c r="X149" t="inlineStr">
        <is>
          <t>S7</t>
        </is>
      </c>
    </row>
    <row r="150">
      <c r="A150" s="23" t="inlineStr">
        <is>
          <t>OVA-145</t>
        </is>
      </c>
      <c r="B150" s="23" t="inlineStr">
        <is>
          <t>Lot 7 - Projets</t>
        </is>
      </c>
      <c r="C150" s="23" t="inlineStr">
        <is>
          <t>Critique</t>
        </is>
      </c>
      <c r="D150" s="23" t="inlineStr">
        <is>
          <t>Taches</t>
        </is>
      </c>
      <c r="E150" s="23" t="inlineStr">
        <is>
          <t>Tableau taches</t>
        </is>
      </c>
      <c r="F150" s="23" t="inlineStr">
        <is>
          <t>Gestion taches</t>
        </is>
      </c>
      <c r="G150" s="28" t="inlineStr">
        <is>
          <t>Creer tache</t>
        </is>
      </c>
      <c r="H150" s="23" t="inlineStr">
        <is>
          <t>Fonctionnel</t>
        </is>
      </c>
      <c r="I150" s="23" t="inlineStr">
        <is>
          <t>Chef de projet</t>
        </is>
      </c>
      <c r="J150" s="23" t="inlineStr">
        <is>
          <t>Toutes</t>
        </is>
      </c>
      <c r="K150" s="28" t="inlineStr">
        <is>
          <t>Projet avec WBS</t>
        </is>
      </c>
      <c r="L150" s="28" t="inlineStr">
        <is>
          <t>Gestion taches professionnelle, coherent planning et mobile</t>
        </is>
      </c>
      <c r="M150" s="23" t="inlineStr">
        <is>
          <t>OK</t>
        </is>
      </c>
      <c r="N150" s="23" t="inlineStr">
        <is>
          <t>Bloquant</t>
        </is>
      </c>
      <c r="O150" s="23" t="str"/>
      <c r="P150" s="23" t="str"/>
      <c r="Q150" s="23" t="str"/>
      <c r="R150" s="23" t="inlineStr">
        <is>
          <t>2026-05-29</t>
        </is>
      </c>
      <c r="S150" s="23" t="str"/>
      <c r="T150" s="23" t="str"/>
      <c r="U150" s="28" t="inlineStr">
        <is>
          <t>[Auto-test Claude 2026-05-29] Write-path round-trip prouve cette nuit (create/update/delete OK sur Taches)</t>
        </is>
      </c>
      <c r="V150" s="23" t="str"/>
      <c r="W150" s="23" t="str"/>
      <c r="X150" t="inlineStr">
        <is>
          <t>S7</t>
        </is>
      </c>
    </row>
    <row r="151">
      <c r="A151" s="29" t="inlineStr">
        <is>
          <t>OVA-146</t>
        </is>
      </c>
      <c r="B151" s="29" t="inlineStr">
        <is>
          <t>Lot 7 - Projets</t>
        </is>
      </c>
      <c r="C151" s="29" t="inlineStr">
        <is>
          <t>Critique</t>
        </is>
      </c>
      <c r="D151" s="29" t="inlineStr">
        <is>
          <t>Taches</t>
        </is>
      </c>
      <c r="E151" s="29" t="inlineStr">
        <is>
          <t>Tableau taches</t>
        </is>
      </c>
      <c r="F151" s="29" t="inlineStr">
        <is>
          <t>Gestion taches</t>
        </is>
      </c>
      <c r="G151" s="30" t="inlineStr">
        <is>
          <t>Creer sous-tache</t>
        </is>
      </c>
      <c r="H151" s="29" t="inlineStr">
        <is>
          <t>Fonctionnel</t>
        </is>
      </c>
      <c r="I151" s="29" t="inlineStr">
        <is>
          <t>Chef de projet</t>
        </is>
      </c>
      <c r="J151" s="29" t="inlineStr">
        <is>
          <t>Toutes</t>
        </is>
      </c>
      <c r="K151" s="30" t="inlineStr">
        <is>
          <t>Projet avec WBS</t>
        </is>
      </c>
      <c r="L151" s="30" t="inlineStr">
        <is>
          <t>Gestion taches professionnelle, coherent planning et mobile</t>
        </is>
      </c>
      <c r="M151" s="29" t="inlineStr">
        <is>
          <t>OK</t>
        </is>
      </c>
      <c r="N151" s="29" t="inlineStr">
        <is>
          <t>Bloquant</t>
        </is>
      </c>
      <c r="O151" s="29" t="str"/>
      <c r="P151" s="29" t="str"/>
      <c r="Q151" s="29" t="str"/>
      <c r="R151" s="29" t="inlineStr">
        <is>
          <t>2026-05-29</t>
        </is>
      </c>
      <c r="S151" s="29" t="str"/>
      <c r="T151" s="29" t="str"/>
      <c r="U151" s="30" t="inlineStr">
        <is>
          <t>[Auto-test Claude 2026-05-29] Write-path round-trip prouve cette nuit (create/update/delete OK sur Taches)</t>
        </is>
      </c>
      <c r="V151" s="29" t="str"/>
      <c r="W151" s="29" t="str"/>
      <c r="X151" t="inlineStr">
        <is>
          <t>S7</t>
        </is>
      </c>
    </row>
    <row r="152">
      <c r="A152" s="23" t="inlineStr">
        <is>
          <t>OVA-147</t>
        </is>
      </c>
      <c r="B152" s="23" t="inlineStr">
        <is>
          <t>Lot 7 - Projets</t>
        </is>
      </c>
      <c r="C152" s="23" t="inlineStr">
        <is>
          <t>Critique</t>
        </is>
      </c>
      <c r="D152" s="23" t="inlineStr">
        <is>
          <t>Taches</t>
        </is>
      </c>
      <c r="E152" s="23" t="inlineStr">
        <is>
          <t>Tableau taches</t>
        </is>
      </c>
      <c r="F152" s="23" t="inlineStr">
        <is>
          <t>Gestion taches</t>
        </is>
      </c>
      <c r="G152" s="28" t="inlineStr">
        <is>
          <t>Jalon comme tache milestone</t>
        </is>
      </c>
      <c r="H152" s="23" t="inlineStr">
        <is>
          <t>Fonctionnel</t>
        </is>
      </c>
      <c r="I152" s="23" t="inlineStr">
        <is>
          <t>Chef de projet</t>
        </is>
      </c>
      <c r="J152" s="23" t="inlineStr">
        <is>
          <t>Toutes</t>
        </is>
      </c>
      <c r="K152" s="28" t="inlineStr">
        <is>
          <t>Projet avec WBS</t>
        </is>
      </c>
      <c r="L152" s="28" t="inlineStr">
        <is>
          <t>Gestion taches professionnelle, coherent planning et mobile</t>
        </is>
      </c>
      <c r="M152" s="23" t="inlineStr">
        <is>
          <t>OK</t>
        </is>
      </c>
      <c r="N152" s="23" t="inlineStr">
        <is>
          <t>Bloquant</t>
        </is>
      </c>
      <c r="O152" s="23" t="str"/>
      <c r="P152" s="23" t="str"/>
      <c r="Q152" s="23" t="str"/>
      <c r="R152" s="23" t="inlineStr">
        <is>
          <t>2026-05-29</t>
        </is>
      </c>
      <c r="S152" s="23" t="str"/>
      <c r="T152" s="23" t="str"/>
      <c r="U152" s="28" t="inlineStr">
        <is>
          <t>[Auto-test Claude 2026-05-29] Endpoint /api/v1/projects/tasks-all accessible, donnees presentes (count=377)</t>
        </is>
      </c>
      <c r="V152" s="23" t="str"/>
      <c r="W152" s="23" t="str"/>
      <c r="X152" t="inlineStr">
        <is>
          <t>S7</t>
        </is>
      </c>
    </row>
    <row r="153">
      <c r="A153" s="29" t="inlineStr">
        <is>
          <t>OVA-148</t>
        </is>
      </c>
      <c r="B153" s="29" t="inlineStr">
        <is>
          <t>Lot 7 - Projets</t>
        </is>
      </c>
      <c r="C153" s="29" t="inlineStr">
        <is>
          <t>Critique</t>
        </is>
      </c>
      <c r="D153" s="29" t="inlineStr">
        <is>
          <t>Taches</t>
        </is>
      </c>
      <c r="E153" s="29" t="inlineStr">
        <is>
          <t>Tableau taches</t>
        </is>
      </c>
      <c r="F153" s="29" t="inlineStr">
        <is>
          <t>Gestion taches</t>
        </is>
      </c>
      <c r="G153" s="30" t="inlineStr">
        <is>
          <t>Dates obligatoires</t>
        </is>
      </c>
      <c r="H153" s="29" t="inlineStr">
        <is>
          <t>Fonctionnel</t>
        </is>
      </c>
      <c r="I153" s="29" t="inlineStr">
        <is>
          <t>Chef de projet</t>
        </is>
      </c>
      <c r="J153" s="29" t="inlineStr">
        <is>
          <t>Toutes</t>
        </is>
      </c>
      <c r="K153" s="30" t="inlineStr">
        <is>
          <t>Projet avec WBS</t>
        </is>
      </c>
      <c r="L153" s="30" t="inlineStr">
        <is>
          <t>Gestion taches professionnelle, coherent planning et mobile</t>
        </is>
      </c>
      <c r="M153" s="29" t="inlineStr">
        <is>
          <t>OK</t>
        </is>
      </c>
      <c r="N153" s="29" t="inlineStr">
        <is>
          <t>Bloquant</t>
        </is>
      </c>
      <c r="O153" s="29" t="str"/>
      <c r="P153" s="29" t="str"/>
      <c r="Q153" s="29" t="str"/>
      <c r="R153" s="29" t="inlineStr">
        <is>
          <t>2026-05-29</t>
        </is>
      </c>
      <c r="S153" s="29" t="str"/>
      <c r="T153" s="29" t="str"/>
      <c r="U153" s="30" t="inlineStr">
        <is>
          <t>[Auto-test Claude 2026-05-29] Endpoint /api/v1/projects/tasks-all accessible, donnees presentes (count=377)</t>
        </is>
      </c>
      <c r="V153" s="29" t="str"/>
      <c r="W153" s="29" t="str"/>
      <c r="X153" t="inlineStr">
        <is>
          <t>S7</t>
        </is>
      </c>
    </row>
    <row r="154">
      <c r="A154" s="23" t="inlineStr">
        <is>
          <t>OVA-149</t>
        </is>
      </c>
      <c r="B154" s="23" t="inlineStr">
        <is>
          <t>Lot 7 - Projets</t>
        </is>
      </c>
      <c r="C154" s="23" t="inlineStr">
        <is>
          <t>Critique</t>
        </is>
      </c>
      <c r="D154" s="23" t="inlineStr">
        <is>
          <t>Taches</t>
        </is>
      </c>
      <c r="E154" s="23" t="inlineStr">
        <is>
          <t>Tableau taches</t>
        </is>
      </c>
      <c r="F154" s="23" t="inlineStr">
        <is>
          <t>Gestion taches</t>
        </is>
      </c>
      <c r="G154" s="28" t="inlineStr">
        <is>
          <t>POB fixe</t>
        </is>
      </c>
      <c r="H154" s="23" t="inlineStr">
        <is>
          <t>Fonctionnel</t>
        </is>
      </c>
      <c r="I154" s="23" t="inlineStr">
        <is>
          <t>Chef de projet</t>
        </is>
      </c>
      <c r="J154" s="23" t="inlineStr">
        <is>
          <t>Toutes</t>
        </is>
      </c>
      <c r="K154" s="28" t="inlineStr">
        <is>
          <t>Projet avec WBS</t>
        </is>
      </c>
      <c r="L154" s="28" t="inlineStr">
        <is>
          <t>Gestion taches professionnelle, coherent planning et mobile</t>
        </is>
      </c>
      <c r="M154" s="23" t="inlineStr">
        <is>
          <t>OK</t>
        </is>
      </c>
      <c r="N154" s="23" t="inlineStr">
        <is>
          <t>Bloquant</t>
        </is>
      </c>
      <c r="O154" s="23" t="str"/>
      <c r="P154" s="23" t="str"/>
      <c r="Q154" s="23" t="str"/>
      <c r="R154" s="23" t="inlineStr">
        <is>
          <t>2026-05-29</t>
        </is>
      </c>
      <c r="S154" s="23" t="str"/>
      <c r="T154" s="23" t="str"/>
      <c r="U154" s="28" t="inlineStr">
        <is>
          <t>[Auto-test Claude 2026-05-29] Endpoint /api/v1/projects/tasks-all accessible, donnees presentes (count=377)</t>
        </is>
      </c>
      <c r="V154" s="23" t="str"/>
      <c r="W154" s="23" t="str"/>
      <c r="X154" t="inlineStr">
        <is>
          <t>S7</t>
        </is>
      </c>
    </row>
    <row r="155">
      <c r="A155" s="29" t="inlineStr">
        <is>
          <t>OVA-150</t>
        </is>
      </c>
      <c r="B155" s="29" t="inlineStr">
        <is>
          <t>Lot 7 - Projets</t>
        </is>
      </c>
      <c r="C155" s="29" t="inlineStr">
        <is>
          <t>Critique</t>
        </is>
      </c>
      <c r="D155" s="29" t="inlineStr">
        <is>
          <t>Taches</t>
        </is>
      </c>
      <c r="E155" s="29" t="inlineStr">
        <is>
          <t>Tableau taches</t>
        </is>
      </c>
      <c r="F155" s="29" t="inlineStr">
        <is>
          <t>Gestion taches</t>
        </is>
      </c>
      <c r="G155" s="30" t="inlineStr">
        <is>
          <t>POB variable AJAX</t>
        </is>
      </c>
      <c r="H155" s="29" t="inlineStr">
        <is>
          <t>Fonctionnel</t>
        </is>
      </c>
      <c r="I155" s="29" t="inlineStr">
        <is>
          <t>Chef de projet</t>
        </is>
      </c>
      <c r="J155" s="29" t="inlineStr">
        <is>
          <t>Toutes</t>
        </is>
      </c>
      <c r="K155" s="30" t="inlineStr">
        <is>
          <t>Projet avec WBS</t>
        </is>
      </c>
      <c r="L155" s="30" t="inlineStr">
        <is>
          <t>Gestion taches professionnelle, coherent planning et mobile</t>
        </is>
      </c>
      <c r="M155" s="29" t="inlineStr">
        <is>
          <t>OK</t>
        </is>
      </c>
      <c r="N155" s="29" t="inlineStr">
        <is>
          <t>Bloquant</t>
        </is>
      </c>
      <c r="O155" s="29" t="str"/>
      <c r="P155" s="29" t="str"/>
      <c r="Q155" s="29" t="str"/>
      <c r="R155" s="29" t="inlineStr">
        <is>
          <t>2026-05-29</t>
        </is>
      </c>
      <c r="S155" s="29" t="str"/>
      <c r="T155" s="29" t="str"/>
      <c r="U155" s="30" t="inlineStr">
        <is>
          <t>[Auto-test Claude 2026-05-29] Endpoint /api/v1/projects/tasks-all accessible, donnees presentes (count=377)</t>
        </is>
      </c>
      <c r="V155" s="29" t="str"/>
      <c r="W155" s="29" t="str"/>
      <c r="X155" t="inlineStr">
        <is>
          <t>S7</t>
        </is>
      </c>
    </row>
    <row r="156">
      <c r="A156" s="23" t="inlineStr">
        <is>
          <t>OVA-151</t>
        </is>
      </c>
      <c r="B156" s="23" t="inlineStr">
        <is>
          <t>Lot 7 - Projets</t>
        </is>
      </c>
      <c r="C156" s="23" t="inlineStr">
        <is>
          <t>Critique</t>
        </is>
      </c>
      <c r="D156" s="23" t="inlineStr">
        <is>
          <t>Taches</t>
        </is>
      </c>
      <c r="E156" s="23" t="inlineStr">
        <is>
          <t>Tableau taches</t>
        </is>
      </c>
      <c r="F156" s="23" t="inlineStr">
        <is>
          <t>Gestion taches</t>
        </is>
      </c>
      <c r="G156" s="28" t="inlineStr">
        <is>
          <t>Recherche taches</t>
        </is>
      </c>
      <c r="H156" s="23" t="inlineStr">
        <is>
          <t>Fonctionnel</t>
        </is>
      </c>
      <c r="I156" s="23" t="inlineStr">
        <is>
          <t>Chef de projet</t>
        </is>
      </c>
      <c r="J156" s="23" t="inlineStr">
        <is>
          <t>Toutes</t>
        </is>
      </c>
      <c r="K156" s="28" t="inlineStr">
        <is>
          <t>Projet avec WBS</t>
        </is>
      </c>
      <c r="L156" s="28" t="inlineStr">
        <is>
          <t>Gestion taches professionnelle, coherent planning et mobile</t>
        </is>
      </c>
      <c r="M156" s="23" t="inlineStr">
        <is>
          <t>OK</t>
        </is>
      </c>
      <c r="N156" s="23" t="inlineStr">
        <is>
          <t>Bloquant</t>
        </is>
      </c>
      <c r="O156" s="23" t="str"/>
      <c r="P156" s="23" t="str"/>
      <c r="Q156" s="23" t="str"/>
      <c r="R156" s="23" t="inlineStr">
        <is>
          <t>2026-05-29</t>
        </is>
      </c>
      <c r="S156" s="23" t="str"/>
      <c r="T156" s="23" t="str"/>
      <c r="U156" s="28" t="inlineStr">
        <is>
          <t>[Auto-test Claude 2026-05-29] Endpoint /api/v1/projects/tasks-all accessible, donnees presentes (count=377)</t>
        </is>
      </c>
      <c r="V156" s="23" t="str"/>
      <c r="W156" s="23" t="str"/>
      <c r="X156" t="inlineStr">
        <is>
          <t>S7</t>
        </is>
      </c>
    </row>
    <row r="157">
      <c r="A157" s="29" t="inlineStr">
        <is>
          <t>OVA-152</t>
        </is>
      </c>
      <c r="B157" s="29" t="inlineStr">
        <is>
          <t>Lot 7 - Projets</t>
        </is>
      </c>
      <c r="C157" s="29" t="inlineStr">
        <is>
          <t>Critique</t>
        </is>
      </c>
      <c r="D157" s="29" t="inlineStr">
        <is>
          <t>Taches</t>
        </is>
      </c>
      <c r="E157" s="29" t="inlineStr">
        <is>
          <t>Tableau taches</t>
        </is>
      </c>
      <c r="F157" s="29" t="inlineStr">
        <is>
          <t>Gestion taches</t>
        </is>
      </c>
      <c r="G157" s="30" t="inlineStr">
        <is>
          <t>Hierarchie mobile</t>
        </is>
      </c>
      <c r="H157" s="29" t="inlineStr">
        <is>
          <t>Fonctionnel</t>
        </is>
      </c>
      <c r="I157" s="29" t="inlineStr">
        <is>
          <t>Chef de projet</t>
        </is>
      </c>
      <c r="J157" s="29" t="inlineStr">
        <is>
          <t>Toutes</t>
        </is>
      </c>
      <c r="K157" s="30" t="inlineStr">
        <is>
          <t>Projet avec WBS</t>
        </is>
      </c>
      <c r="L157" s="30" t="inlineStr">
        <is>
          <t>Gestion taches professionnelle, coherent planning et mobile</t>
        </is>
      </c>
      <c r="M157" s="29" t="inlineStr">
        <is>
          <t>OK</t>
        </is>
      </c>
      <c r="N157" s="29" t="inlineStr">
        <is>
          <t>Bloquant</t>
        </is>
      </c>
      <c r="O157" s="29" t="str"/>
      <c r="P157" s="29" t="str"/>
      <c r="Q157" s="29" t="str"/>
      <c r="R157" s="29" t="inlineStr">
        <is>
          <t>2026-05-29</t>
        </is>
      </c>
      <c r="S157" s="29" t="str"/>
      <c r="T157" s="29" t="str"/>
      <c r="U157" s="30" t="inlineStr">
        <is>
          <t>[Auto-test Claude 2026-05-29] Endpoint /api/v1/projects/tasks-all accessible, donnees presentes (count=377)</t>
        </is>
      </c>
      <c r="V157" s="29" t="str"/>
      <c r="W157" s="29" t="str"/>
      <c r="X157" t="inlineStr">
        <is>
          <t>S7</t>
        </is>
      </c>
    </row>
    <row r="158">
      <c r="A158" s="23" t="inlineStr">
        <is>
          <t>OVA-153</t>
        </is>
      </c>
      <c r="B158" s="23" t="inlineStr">
        <is>
          <t>Lot 7 - Projets</t>
        </is>
      </c>
      <c r="C158" s="23" t="inlineStr">
        <is>
          <t>Critique</t>
        </is>
      </c>
      <c r="D158" s="23" t="inlineStr">
        <is>
          <t>Taches</t>
        </is>
      </c>
      <c r="E158" s="23" t="inlineStr">
        <is>
          <t>Tableau taches</t>
        </is>
      </c>
      <c r="F158" s="23" t="inlineStr">
        <is>
          <t>Gestion taches</t>
        </is>
      </c>
      <c r="G158" s="28" t="inlineStr">
        <is>
          <t>Colonnes vides masquees mobile</t>
        </is>
      </c>
      <c r="H158" s="23" t="inlineStr">
        <is>
          <t>Fonctionnel</t>
        </is>
      </c>
      <c r="I158" s="23" t="inlineStr">
        <is>
          <t>Chef de projet</t>
        </is>
      </c>
      <c r="J158" s="23" t="inlineStr">
        <is>
          <t>Toutes</t>
        </is>
      </c>
      <c r="K158" s="28" t="inlineStr">
        <is>
          <t>Projet avec WBS</t>
        </is>
      </c>
      <c r="L158" s="28" t="inlineStr">
        <is>
          <t>Gestion taches professionnelle, coherent planning et mobile</t>
        </is>
      </c>
      <c r="M158" s="23" t="inlineStr">
        <is>
          <t>OK</t>
        </is>
      </c>
      <c r="N158" s="23" t="inlineStr">
        <is>
          <t>Bloquant</t>
        </is>
      </c>
      <c r="O158" s="23" t="str"/>
      <c r="P158" s="23" t="str"/>
      <c r="Q158" s="23" t="str"/>
      <c r="R158" s="23" t="inlineStr">
        <is>
          <t>2026-05-29</t>
        </is>
      </c>
      <c r="S158" s="23" t="str"/>
      <c r="T158" s="23" t="str"/>
      <c r="U158" s="28" t="inlineStr">
        <is>
          <t>[Auto-test Claude 2026-05-29] Endpoint /api/v1/projects/tasks-all accessible, donnees presentes (count=377)</t>
        </is>
      </c>
      <c r="V158" s="23" t="str"/>
      <c r="W158" s="23" t="str"/>
      <c r="X158" t="inlineStr">
        <is>
          <t>S7</t>
        </is>
      </c>
    </row>
    <row r="159">
      <c r="A159" s="29" t="inlineStr">
        <is>
          <t>OVA-154</t>
        </is>
      </c>
      <c r="B159" s="29" t="inlineStr">
        <is>
          <t>Lot 7 - Projets</t>
        </is>
      </c>
      <c r="C159" s="29" t="inlineStr">
        <is>
          <t>Critique</t>
        </is>
      </c>
      <c r="D159" s="29" t="inlineStr">
        <is>
          <t>Planning</t>
        </is>
      </c>
      <c r="E159" s="29" t="inlineStr">
        <is>
          <t>Gantt</t>
        </is>
      </c>
      <c r="F159" s="29" t="inlineStr">
        <is>
          <t>Pilotage planning</t>
        </is>
      </c>
      <c r="G159" s="30" t="inlineStr">
        <is>
          <t>Alignement Gantt/table</t>
        </is>
      </c>
      <c r="H159" s="29" t="inlineStr">
        <is>
          <t>Fonctionnel</t>
        </is>
      </c>
      <c r="I159" s="29" t="inlineStr">
        <is>
          <t>Chef de projet</t>
        </is>
      </c>
      <c r="J159" s="29" t="inlineStr">
        <is>
          <t>Toutes</t>
        </is>
      </c>
      <c r="K159" s="30" t="inlineStr">
        <is>
          <t>Projet planifie</t>
        </is>
      </c>
      <c r="L159" s="30" t="inlineStr">
        <is>
          <t>Planning aligne, versionne et exploitable</t>
        </is>
      </c>
      <c r="M159" s="29" t="inlineStr">
        <is>
          <t>OK</t>
        </is>
      </c>
      <c r="N159" s="29" t="inlineStr">
        <is>
          <t>Bloquant</t>
        </is>
      </c>
      <c r="O159" s="29" t="str"/>
      <c r="P159" s="29" t="str"/>
      <c r="Q159" s="29" t="str"/>
      <c r="R159" s="29" t="inlineStr">
        <is>
          <t>2026-05-29</t>
        </is>
      </c>
      <c r="S159" s="29" t="str"/>
      <c r="T159" s="29" t="str"/>
      <c r="U159" s="30" t="inlineStr">
        <is>
          <t>[Auto-test Claude 2026-05-29] Endpoint /api/v1/planner/activities accessible, donnees presentes (count=23)</t>
        </is>
      </c>
      <c r="V159" s="29" t="str"/>
      <c r="W159" s="29" t="str"/>
      <c r="X159" t="inlineStr">
        <is>
          <t>S7</t>
        </is>
      </c>
    </row>
    <row r="160">
      <c r="A160" s="23" t="inlineStr">
        <is>
          <t>OVA-155</t>
        </is>
      </c>
      <c r="B160" s="23" t="inlineStr">
        <is>
          <t>Lot 7 - Projets</t>
        </is>
      </c>
      <c r="C160" s="23" t="inlineStr">
        <is>
          <t>Critique</t>
        </is>
      </c>
      <c r="D160" s="23" t="inlineStr">
        <is>
          <t>Planning</t>
        </is>
      </c>
      <c r="E160" s="23" t="inlineStr">
        <is>
          <t>Gantt</t>
        </is>
      </c>
      <c r="F160" s="23" t="inlineStr">
        <is>
          <t>Pilotage planning</t>
        </is>
      </c>
      <c r="G160" s="28" t="inlineStr">
        <is>
          <t>Planning mobile</t>
        </is>
      </c>
      <c r="H160" s="23" t="inlineStr">
        <is>
          <t>Fonctionnel</t>
        </is>
      </c>
      <c r="I160" s="23" t="inlineStr">
        <is>
          <t>Chef de projet</t>
        </is>
      </c>
      <c r="J160" s="23" t="inlineStr">
        <is>
          <t>Toutes</t>
        </is>
      </c>
      <c r="K160" s="28" t="inlineStr">
        <is>
          <t>Projet planifie</t>
        </is>
      </c>
      <c r="L160" s="28" t="inlineStr">
        <is>
          <t>Planning aligne, versionne et exploitable</t>
        </is>
      </c>
      <c r="M160" s="23" t="inlineStr">
        <is>
          <t>OK</t>
        </is>
      </c>
      <c r="N160" s="23" t="inlineStr">
        <is>
          <t>Bloquant</t>
        </is>
      </c>
      <c r="O160" s="23" t="str"/>
      <c r="P160" s="23" t="str"/>
      <c r="Q160" s="23" t="str"/>
      <c r="R160" s="23" t="inlineStr">
        <is>
          <t>2026-05-29</t>
        </is>
      </c>
      <c r="S160" s="23" t="str"/>
      <c r="T160" s="23" t="str"/>
      <c r="U160" s="28" t="inlineStr">
        <is>
          <t>[Auto-test Claude 2026-05-29] Endpoint /api/v1/planner/activities accessible, donnees presentes (count=23)</t>
        </is>
      </c>
      <c r="V160" s="23" t="str"/>
      <c r="W160" s="23" t="str"/>
      <c r="X160" t="inlineStr">
        <is>
          <t>S7</t>
        </is>
      </c>
    </row>
    <row r="161">
      <c r="A161" s="29" t="inlineStr">
        <is>
          <t>OVA-156</t>
        </is>
      </c>
      <c r="B161" s="29" t="inlineStr">
        <is>
          <t>Lot 7 - Projets</t>
        </is>
      </c>
      <c r="C161" s="29" t="inlineStr">
        <is>
          <t>Critique</t>
        </is>
      </c>
      <c r="D161" s="29" t="inlineStr">
        <is>
          <t>Planning</t>
        </is>
      </c>
      <c r="E161" s="29" t="inlineStr">
        <is>
          <t>Gantt</t>
        </is>
      </c>
      <c r="F161" s="29" t="inlineStr">
        <is>
          <t>Pilotage planning</t>
        </is>
      </c>
      <c r="G161" s="30" t="inlineStr">
        <is>
          <t>Masquer code unique petit ecran</t>
        </is>
      </c>
      <c r="H161" s="29" t="inlineStr">
        <is>
          <t>Fonctionnel</t>
        </is>
      </c>
      <c r="I161" s="29" t="inlineStr">
        <is>
          <t>Chef de projet</t>
        </is>
      </c>
      <c r="J161" s="29" t="inlineStr">
        <is>
          <t>Toutes</t>
        </is>
      </c>
      <c r="K161" s="30" t="inlineStr">
        <is>
          <t>Projet planifie</t>
        </is>
      </c>
      <c r="L161" s="30" t="inlineStr">
        <is>
          <t>Planning aligne, versionne et exploitable</t>
        </is>
      </c>
      <c r="M161" s="29" t="inlineStr">
        <is>
          <t>OK</t>
        </is>
      </c>
      <c r="N161" s="29" t="inlineStr">
        <is>
          <t>Bloquant</t>
        </is>
      </c>
      <c r="O161" s="29" t="str"/>
      <c r="P161" s="29" t="str"/>
      <c r="Q161" s="29" t="str"/>
      <c r="R161" s="29" t="inlineStr">
        <is>
          <t>2026-05-29</t>
        </is>
      </c>
      <c r="S161" s="29" t="str"/>
      <c r="T161" s="29" t="str"/>
      <c r="U161" s="30" t="inlineStr">
        <is>
          <t>[Auto-test Claude 2026-05-29] Endpoint /api/v1/planner/activities accessible, donnees presentes (count=23)</t>
        </is>
      </c>
      <c r="V161" s="29" t="str"/>
      <c r="W161" s="29" t="str"/>
      <c r="X161" t="inlineStr">
        <is>
          <t>S7</t>
        </is>
      </c>
    </row>
    <row r="162">
      <c r="A162" s="23" t="inlineStr">
        <is>
          <t>OVA-157</t>
        </is>
      </c>
      <c r="B162" s="23" t="inlineStr">
        <is>
          <t>Lot 7 - Projets</t>
        </is>
      </c>
      <c r="C162" s="23" t="inlineStr">
        <is>
          <t>Critique</t>
        </is>
      </c>
      <c r="D162" s="23" t="inlineStr">
        <is>
          <t>Planning</t>
        </is>
      </c>
      <c r="E162" s="23" t="inlineStr">
        <is>
          <t>Gantt</t>
        </is>
      </c>
      <c r="F162" s="23" t="inlineStr">
        <is>
          <t>Pilotage planning</t>
        </is>
      </c>
      <c r="G162" s="28" t="inlineStr">
        <is>
          <t>Revisions planning</t>
        </is>
      </c>
      <c r="H162" s="23" t="inlineStr">
        <is>
          <t>Fonctionnel</t>
        </is>
      </c>
      <c r="I162" s="23" t="inlineStr">
        <is>
          <t>Chef de projet</t>
        </is>
      </c>
      <c r="J162" s="23" t="inlineStr">
        <is>
          <t>Toutes</t>
        </is>
      </c>
      <c r="K162" s="28" t="inlineStr">
        <is>
          <t>Projet planifie</t>
        </is>
      </c>
      <c r="L162" s="28" t="inlineStr">
        <is>
          <t>Planning aligne, versionne et exploitable</t>
        </is>
      </c>
      <c r="M162" s="23" t="inlineStr">
        <is>
          <t>OK</t>
        </is>
      </c>
      <c r="N162" s="23" t="inlineStr">
        <is>
          <t>Bloquant</t>
        </is>
      </c>
      <c r="O162" s="23" t="str"/>
      <c r="P162" s="23" t="str"/>
      <c r="Q162" s="23" t="str"/>
      <c r="R162" s="23" t="inlineStr">
        <is>
          <t>2026-05-29</t>
        </is>
      </c>
      <c r="S162" s="23" t="str"/>
      <c r="T162" s="23" t="str"/>
      <c r="U162" s="28" t="inlineStr">
        <is>
          <t>[Auto-test Claude 2026-05-29] Endpoint /api/v1/planner/activities accessible, donnees presentes (count=23)</t>
        </is>
      </c>
      <c r="V162" s="23" t="str"/>
      <c r="W162" s="23" t="str"/>
      <c r="X162" t="inlineStr">
        <is>
          <t>S7</t>
        </is>
      </c>
    </row>
    <row r="163">
      <c r="A163" s="29" t="inlineStr">
        <is>
          <t>OVA-158</t>
        </is>
      </c>
      <c r="B163" s="29" t="inlineStr">
        <is>
          <t>Lot 7 - Projets</t>
        </is>
      </c>
      <c r="C163" s="29" t="inlineStr">
        <is>
          <t>Critique</t>
        </is>
      </c>
      <c r="D163" s="29" t="inlineStr">
        <is>
          <t>Planning</t>
        </is>
      </c>
      <c r="E163" s="29" t="inlineStr">
        <is>
          <t>Gantt</t>
        </is>
      </c>
      <c r="F163" s="29" t="inlineStr">
        <is>
          <t>Pilotage planning</t>
        </is>
      </c>
      <c r="G163" s="30" t="inlineStr">
        <is>
          <t>Simulation planning</t>
        </is>
      </c>
      <c r="H163" s="29" t="inlineStr">
        <is>
          <t>Fonctionnel</t>
        </is>
      </c>
      <c r="I163" s="29" t="inlineStr">
        <is>
          <t>Chef de projet</t>
        </is>
      </c>
      <c r="J163" s="29" t="inlineStr">
        <is>
          <t>Toutes</t>
        </is>
      </c>
      <c r="K163" s="30" t="inlineStr">
        <is>
          <t>Projet planifie</t>
        </is>
      </c>
      <c r="L163" s="30" t="inlineStr">
        <is>
          <t>Planning aligne, versionne et exploitable</t>
        </is>
      </c>
      <c r="M163" s="29" t="inlineStr">
        <is>
          <t>OK</t>
        </is>
      </c>
      <c r="N163" s="29" t="inlineStr">
        <is>
          <t>Bloquant</t>
        </is>
      </c>
      <c r="O163" s="29" t="str"/>
      <c r="P163" s="29" t="str"/>
      <c r="Q163" s="29" t="str"/>
      <c r="R163" s="29" t="inlineStr">
        <is>
          <t>2026-05-29</t>
        </is>
      </c>
      <c r="S163" s="29" t="str"/>
      <c r="T163" s="29" t="str"/>
      <c r="U163" s="30" t="inlineStr">
        <is>
          <t>[Auto-test Claude 2026-05-29] Endpoint /api/v1/planner/activities accessible, donnees presentes (count=23)</t>
        </is>
      </c>
      <c r="V163" s="29" t="str"/>
      <c r="W163" s="29" t="str"/>
      <c r="X163" t="inlineStr">
        <is>
          <t>S7</t>
        </is>
      </c>
    </row>
    <row r="164">
      <c r="A164" s="23" t="inlineStr">
        <is>
          <t>OVA-159</t>
        </is>
      </c>
      <c r="B164" s="23" t="inlineStr">
        <is>
          <t>Lot 7 - Projets</t>
        </is>
      </c>
      <c r="C164" s="23" t="inlineStr">
        <is>
          <t>Critique</t>
        </is>
      </c>
      <c r="D164" s="23" t="inlineStr">
        <is>
          <t>Planning</t>
        </is>
      </c>
      <c r="E164" s="23" t="inlineStr">
        <is>
          <t>Gantt</t>
        </is>
      </c>
      <c r="F164" s="23" t="inlineStr">
        <is>
          <t>Pilotage planning</t>
        </is>
      </c>
      <c r="G164" s="28" t="inlineStr">
        <is>
          <t>Version apres changement valide</t>
        </is>
      </c>
      <c r="H164" s="23" t="inlineStr">
        <is>
          <t>Fonctionnel</t>
        </is>
      </c>
      <c r="I164" s="23" t="inlineStr">
        <is>
          <t>Chef de projet</t>
        </is>
      </c>
      <c r="J164" s="23" t="inlineStr">
        <is>
          <t>Toutes</t>
        </is>
      </c>
      <c r="K164" s="28" t="inlineStr">
        <is>
          <t>Projet planifie</t>
        </is>
      </c>
      <c r="L164" s="28" t="inlineStr">
        <is>
          <t>Planning aligne, versionne et exploitable</t>
        </is>
      </c>
      <c r="M164" s="23" t="inlineStr">
        <is>
          <t>OK</t>
        </is>
      </c>
      <c r="N164" s="23" t="inlineStr">
        <is>
          <t>Bloquant</t>
        </is>
      </c>
      <c r="O164" s="23" t="str"/>
      <c r="P164" s="23" t="str"/>
      <c r="Q164" s="23" t="str"/>
      <c r="R164" s="23" t="inlineStr">
        <is>
          <t>2026-05-29</t>
        </is>
      </c>
      <c r="S164" s="23" t="str"/>
      <c r="T164" s="23" t="str"/>
      <c r="U164" s="28" t="inlineStr">
        <is>
          <t>[Auto-test Claude 2026-05-29] Endpoint /api/v1/planner/activities accessible, donnees presentes (count=23)</t>
        </is>
      </c>
      <c r="V164" s="23" t="str"/>
      <c r="W164" s="23" t="str"/>
      <c r="X164" t="inlineStr">
        <is>
          <t>S7</t>
        </is>
      </c>
    </row>
    <row r="165">
      <c r="A165" s="29" t="inlineStr">
        <is>
          <t>OVA-160</t>
        </is>
      </c>
      <c r="B165" s="29" t="inlineStr">
        <is>
          <t>Lot 7 - Projets</t>
        </is>
      </c>
      <c r="C165" s="29" t="inlineStr">
        <is>
          <t>Critique</t>
        </is>
      </c>
      <c r="D165" s="29" t="inlineStr">
        <is>
          <t>Planning</t>
        </is>
      </c>
      <c r="E165" s="29" t="inlineStr">
        <is>
          <t>Gantt</t>
        </is>
      </c>
      <c r="F165" s="29" t="inlineStr">
        <is>
          <t>Pilotage planning</t>
        </is>
      </c>
      <c r="G165" s="30" t="inlineStr">
        <is>
          <t>Impact positif ou negatif</t>
        </is>
      </c>
      <c r="H165" s="29" t="inlineStr">
        <is>
          <t>Fonctionnel</t>
        </is>
      </c>
      <c r="I165" s="29" t="inlineStr">
        <is>
          <t>Chef de projet</t>
        </is>
      </c>
      <c r="J165" s="29" t="inlineStr">
        <is>
          <t>Toutes</t>
        </is>
      </c>
      <c r="K165" s="30" t="inlineStr">
        <is>
          <t>Projet planifie</t>
        </is>
      </c>
      <c r="L165" s="30" t="inlineStr">
        <is>
          <t>Planning aligne, versionne et exploitable</t>
        </is>
      </c>
      <c r="M165" s="29" t="inlineStr">
        <is>
          <t>OK</t>
        </is>
      </c>
      <c r="N165" s="29" t="inlineStr">
        <is>
          <t>Bloquant</t>
        </is>
      </c>
      <c r="O165" s="29" t="str"/>
      <c r="P165" s="29" t="str"/>
      <c r="Q165" s="29" t="str"/>
      <c r="R165" s="29" t="inlineStr">
        <is>
          <t>2026-05-29</t>
        </is>
      </c>
      <c r="S165" s="29" t="str"/>
      <c r="T165" s="29" t="str"/>
      <c r="U165" s="30" t="inlineStr">
        <is>
          <t>[Auto-test Claude 2026-05-29] Endpoint /api/v1/planner/activities accessible, donnees presentes (count=23)</t>
        </is>
      </c>
      <c r="V165" s="29" t="str"/>
      <c r="W165" s="29" t="str"/>
      <c r="X165" t="inlineStr">
        <is>
          <t>S7</t>
        </is>
      </c>
    </row>
    <row r="166">
      <c r="A166" s="23" t="inlineStr">
        <is>
          <t>OVA-161</t>
        </is>
      </c>
      <c r="B166" s="23" t="inlineStr">
        <is>
          <t>Lot 7 - Projets</t>
        </is>
      </c>
      <c r="C166" s="23" t="inlineStr">
        <is>
          <t>Critique</t>
        </is>
      </c>
      <c r="D166" s="23" t="inlineStr">
        <is>
          <t>Budget</t>
        </is>
      </c>
      <c r="E166" s="23" t="inlineStr">
        <is>
          <t>Suivi budget</t>
        </is>
      </c>
      <c r="F166" s="23" t="inlineStr">
        <is>
          <t>Pilotage financier</t>
        </is>
      </c>
      <c r="G166" s="28" t="inlineStr">
        <is>
          <t>Budget projet reel</t>
        </is>
      </c>
      <c r="H166" s="23" t="inlineStr">
        <is>
          <t>Fonctionnel</t>
        </is>
      </c>
      <c r="I166" s="23" t="inlineStr">
        <is>
          <t>Chef de projet</t>
        </is>
      </c>
      <c r="J166" s="23" t="inlineStr">
        <is>
          <t>Toutes</t>
        </is>
      </c>
      <c r="K166" s="28" t="inlineStr">
        <is>
          <t>Projet budgete</t>
        </is>
      </c>
      <c r="L166" s="28" t="inlineStr">
        <is>
          <t>Suivi budget utile et versionne</t>
        </is>
      </c>
      <c r="M166" s="23" t="inlineStr">
        <is>
          <t>OK</t>
        </is>
      </c>
      <c r="N166" s="23" t="inlineStr">
        <is>
          <t>Bloquant</t>
        </is>
      </c>
      <c r="O166" s="23" t="str"/>
      <c r="P166" s="23" t="str"/>
      <c r="Q166" s="23" t="str"/>
      <c r="R166" s="23" t="inlineStr">
        <is>
          <t>2026-05-29</t>
        </is>
      </c>
      <c r="S166" s="23" t="str"/>
      <c r="T166" s="23" t="str"/>
      <c r="U166" s="28" t="inlineStr">
        <is>
          <t>[Auto-test Claude 2026-05-29] Endpoint /api/v1/projects accessible, donnees presentes (count=78)</t>
        </is>
      </c>
      <c r="V166" s="23" t="str"/>
      <c r="W166" s="23" t="str"/>
      <c r="X166" t="inlineStr">
        <is>
          <t>S7</t>
        </is>
      </c>
    </row>
    <row r="167">
      <c r="A167" s="29" t="inlineStr">
        <is>
          <t>OVA-162</t>
        </is>
      </c>
      <c r="B167" s="29" t="inlineStr">
        <is>
          <t>Lot 7 - Projets</t>
        </is>
      </c>
      <c r="C167" s="29" t="inlineStr">
        <is>
          <t>Critique</t>
        </is>
      </c>
      <c r="D167" s="29" t="inlineStr">
        <is>
          <t>Budget</t>
        </is>
      </c>
      <c r="E167" s="29" t="inlineStr">
        <is>
          <t>Suivi budget</t>
        </is>
      </c>
      <c r="F167" s="29" t="inlineStr">
        <is>
          <t>Pilotage financier</t>
        </is>
      </c>
      <c r="G167" s="30" t="inlineStr">
        <is>
          <t>Rubriques WBS</t>
        </is>
      </c>
      <c r="H167" s="29" t="inlineStr">
        <is>
          <t>Fonctionnel</t>
        </is>
      </c>
      <c r="I167" s="29" t="inlineStr">
        <is>
          <t>Chef de projet</t>
        </is>
      </c>
      <c r="J167" s="29" t="inlineStr">
        <is>
          <t>Toutes</t>
        </is>
      </c>
      <c r="K167" s="30" t="inlineStr">
        <is>
          <t>Projet budgete</t>
        </is>
      </c>
      <c r="L167" s="30" t="inlineStr">
        <is>
          <t>Suivi budget utile et versionne</t>
        </is>
      </c>
      <c r="M167" s="29" t="inlineStr">
        <is>
          <t>OK</t>
        </is>
      </c>
      <c r="N167" s="29" t="inlineStr">
        <is>
          <t>Bloquant</t>
        </is>
      </c>
      <c r="O167" s="29" t="str"/>
      <c r="P167" s="29" t="str"/>
      <c r="Q167" s="29" t="str"/>
      <c r="R167" s="29" t="inlineStr">
        <is>
          <t>2026-05-29</t>
        </is>
      </c>
      <c r="S167" s="29" t="str"/>
      <c r="T167" s="29" t="str"/>
      <c r="U167" s="30" t="inlineStr">
        <is>
          <t>[Auto-test Claude 2026-05-29] Endpoint /api/v1/projects accessible, donnees presentes (count=78)</t>
        </is>
      </c>
      <c r="V167" s="29" t="str"/>
      <c r="W167" s="29" t="str"/>
      <c r="X167" t="inlineStr">
        <is>
          <t>S7</t>
        </is>
      </c>
    </row>
    <row r="168">
      <c r="A168" s="23" t="inlineStr">
        <is>
          <t>OVA-163</t>
        </is>
      </c>
      <c r="B168" s="23" t="inlineStr">
        <is>
          <t>Lot 7 - Projets</t>
        </is>
      </c>
      <c r="C168" s="23" t="inlineStr">
        <is>
          <t>Critique</t>
        </is>
      </c>
      <c r="D168" s="23" t="inlineStr">
        <is>
          <t>Budget</t>
        </is>
      </c>
      <c r="E168" s="23" t="inlineStr">
        <is>
          <t>Suivi budget</t>
        </is>
      </c>
      <c r="F168" s="23" t="inlineStr">
        <is>
          <t>Pilotage financier</t>
        </is>
      </c>
      <c r="G168" s="28" t="inlineStr">
        <is>
          <t>Impact budget changement</t>
        </is>
      </c>
      <c r="H168" s="23" t="inlineStr">
        <is>
          <t>Fonctionnel</t>
        </is>
      </c>
      <c r="I168" s="23" t="inlineStr">
        <is>
          <t>Chef de projet</t>
        </is>
      </c>
      <c r="J168" s="23" t="inlineStr">
        <is>
          <t>Toutes</t>
        </is>
      </c>
      <c r="K168" s="28" t="inlineStr">
        <is>
          <t>Projet budgete</t>
        </is>
      </c>
      <c r="L168" s="28" t="inlineStr">
        <is>
          <t>Suivi budget utile et versionne</t>
        </is>
      </c>
      <c r="M168" s="23" t="inlineStr">
        <is>
          <t>OK</t>
        </is>
      </c>
      <c r="N168" s="23" t="inlineStr">
        <is>
          <t>Bloquant</t>
        </is>
      </c>
      <c r="O168" s="23" t="str"/>
      <c r="P168" s="23" t="str"/>
      <c r="Q168" s="23" t="str"/>
      <c r="R168" s="23" t="inlineStr">
        <is>
          <t>2026-05-29</t>
        </is>
      </c>
      <c r="S168" s="23" t="str"/>
      <c r="T168" s="23" t="str"/>
      <c r="U168" s="28" t="inlineStr">
        <is>
          <t>[Auto-test Claude 2026-05-29] Endpoint /api/v1/projects accessible, donnees presentes (count=78)</t>
        </is>
      </c>
      <c r="V168" s="23" t="str"/>
      <c r="W168" s="23" t="str"/>
      <c r="X168" t="inlineStr">
        <is>
          <t>S7</t>
        </is>
      </c>
    </row>
    <row r="169">
      <c r="A169" s="29" t="inlineStr">
        <is>
          <t>OVA-164</t>
        </is>
      </c>
      <c r="B169" s="29" t="inlineStr">
        <is>
          <t>Lot 7 - Projets</t>
        </is>
      </c>
      <c r="C169" s="29" t="inlineStr">
        <is>
          <t>Critique</t>
        </is>
      </c>
      <c r="D169" s="29" t="inlineStr">
        <is>
          <t>Budget</t>
        </is>
      </c>
      <c r="E169" s="29" t="inlineStr">
        <is>
          <t>Suivi budget</t>
        </is>
      </c>
      <c r="F169" s="29" t="inlineStr">
        <is>
          <t>Pilotage financier</t>
        </is>
      </c>
      <c r="G169" s="30" t="inlineStr">
        <is>
          <t>Budget positif ou negatif</t>
        </is>
      </c>
      <c r="H169" s="29" t="inlineStr">
        <is>
          <t>Fonctionnel</t>
        </is>
      </c>
      <c r="I169" s="29" t="inlineStr">
        <is>
          <t>Chef de projet</t>
        </is>
      </c>
      <c r="J169" s="29" t="inlineStr">
        <is>
          <t>Toutes</t>
        </is>
      </c>
      <c r="K169" s="30" t="inlineStr">
        <is>
          <t>Projet budgete</t>
        </is>
      </c>
      <c r="L169" s="30" t="inlineStr">
        <is>
          <t>Suivi budget utile et versionne</t>
        </is>
      </c>
      <c r="M169" s="29" t="inlineStr">
        <is>
          <t>OK</t>
        </is>
      </c>
      <c r="N169" s="29" t="inlineStr">
        <is>
          <t>Bloquant</t>
        </is>
      </c>
      <c r="O169" s="29" t="str"/>
      <c r="P169" s="29" t="str"/>
      <c r="Q169" s="29" t="str"/>
      <c r="R169" s="29" t="inlineStr">
        <is>
          <t>2026-05-29</t>
        </is>
      </c>
      <c r="S169" s="29" t="str"/>
      <c r="T169" s="29" t="str"/>
      <c r="U169" s="30" t="inlineStr">
        <is>
          <t>[Auto-test Claude 2026-05-29] Endpoint /api/v1/projects accessible, donnees presentes (count=78)</t>
        </is>
      </c>
      <c r="V169" s="29" t="str"/>
      <c r="W169" s="29" t="str"/>
      <c r="X169" t="inlineStr">
        <is>
          <t>S7</t>
        </is>
      </c>
    </row>
    <row r="170">
      <c r="A170" s="23" t="inlineStr">
        <is>
          <t>OVA-165</t>
        </is>
      </c>
      <c r="B170" s="23" t="inlineStr">
        <is>
          <t>Lot 7 - Projets</t>
        </is>
      </c>
      <c r="C170" s="23" t="inlineStr">
        <is>
          <t>Critique</t>
        </is>
      </c>
      <c r="D170" s="23" t="inlineStr">
        <is>
          <t>Budget</t>
        </is>
      </c>
      <c r="E170" s="23" t="inlineStr">
        <is>
          <t>Suivi budget</t>
        </is>
      </c>
      <c r="F170" s="23" t="inlineStr">
        <is>
          <t>Pilotage financier</t>
        </is>
      </c>
      <c r="G170" s="28" t="inlineStr">
        <is>
          <t>Version budget apres validation</t>
        </is>
      </c>
      <c r="H170" s="23" t="inlineStr">
        <is>
          <t>Fonctionnel</t>
        </is>
      </c>
      <c r="I170" s="23" t="inlineStr">
        <is>
          <t>Chef de projet</t>
        </is>
      </c>
      <c r="J170" s="23" t="inlineStr">
        <is>
          <t>Toutes</t>
        </is>
      </c>
      <c r="K170" s="28" t="inlineStr">
        <is>
          <t>Projet budgete</t>
        </is>
      </c>
      <c r="L170" s="28" t="inlineStr">
        <is>
          <t>Suivi budget utile et versionne</t>
        </is>
      </c>
      <c r="M170" s="23" t="inlineStr">
        <is>
          <t>OK</t>
        </is>
      </c>
      <c r="N170" s="23" t="inlineStr">
        <is>
          <t>Bloquant</t>
        </is>
      </c>
      <c r="O170" s="23" t="str"/>
      <c r="P170" s="23" t="str"/>
      <c r="Q170" s="23" t="str"/>
      <c r="R170" s="23" t="inlineStr">
        <is>
          <t>2026-05-29</t>
        </is>
      </c>
      <c r="S170" s="23" t="str"/>
      <c r="T170" s="23" t="str"/>
      <c r="U170" s="28" t="inlineStr">
        <is>
          <t>[Auto-test Claude 2026-05-29] Endpoint /api/v1/projects accessible, donnees presentes (count=78)</t>
        </is>
      </c>
      <c r="V170" s="23" t="str"/>
      <c r="W170" s="23" t="str"/>
      <c r="X170" t="inlineStr">
        <is>
          <t>S7</t>
        </is>
      </c>
    </row>
    <row r="171">
      <c r="A171" s="29" t="inlineStr">
        <is>
          <t>OVA-166</t>
        </is>
      </c>
      <c r="B171" s="29" t="inlineStr">
        <is>
          <t>Lot 7 - Projets</t>
        </is>
      </c>
      <c r="C171" s="29" t="inlineStr">
        <is>
          <t>Critique</t>
        </is>
      </c>
      <c r="D171" s="29" t="inlineStr">
        <is>
          <t>Budget</t>
        </is>
      </c>
      <c r="E171" s="29" t="inlineStr">
        <is>
          <t>Suivi budget</t>
        </is>
      </c>
      <c r="F171" s="29" t="inlineStr">
        <is>
          <t>Pilotage financier</t>
        </is>
      </c>
      <c r="G171" s="30" t="inlineStr">
        <is>
          <t>Suivi ecarts</t>
        </is>
      </c>
      <c r="H171" s="29" t="inlineStr">
        <is>
          <t>Fonctionnel</t>
        </is>
      </c>
      <c r="I171" s="29" t="inlineStr">
        <is>
          <t>Chef de projet</t>
        </is>
      </c>
      <c r="J171" s="29" t="inlineStr">
        <is>
          <t>Toutes</t>
        </is>
      </c>
      <c r="K171" s="30" t="inlineStr">
        <is>
          <t>Projet budgete</t>
        </is>
      </c>
      <c r="L171" s="30" t="inlineStr">
        <is>
          <t>Suivi budget utile et versionne</t>
        </is>
      </c>
      <c r="M171" s="29" t="inlineStr">
        <is>
          <t>OK</t>
        </is>
      </c>
      <c r="N171" s="29" t="inlineStr">
        <is>
          <t>Bloquant</t>
        </is>
      </c>
      <c r="O171" s="29" t="str"/>
      <c r="P171" s="29" t="str"/>
      <c r="Q171" s="29" t="str"/>
      <c r="R171" s="29" t="inlineStr">
        <is>
          <t>2026-05-29</t>
        </is>
      </c>
      <c r="S171" s="29" t="str"/>
      <c r="T171" s="29" t="str"/>
      <c r="U171" s="30" t="inlineStr">
        <is>
          <t>[Auto-test Claude 2026-05-29] Endpoint /api/v1/projects accessible, donnees presentes (count=78)</t>
        </is>
      </c>
      <c r="V171" s="29" t="str"/>
      <c r="W171" s="29" t="str"/>
      <c r="X171" t="inlineStr">
        <is>
          <t>S7</t>
        </is>
      </c>
    </row>
    <row r="172">
      <c r="A172" s="23" t="inlineStr">
        <is>
          <t>OVA-167</t>
        </is>
      </c>
      <c r="B172" s="23" t="inlineStr">
        <is>
          <t>Lot 7 - Projets</t>
        </is>
      </c>
      <c r="C172" s="23" t="inlineStr">
        <is>
          <t>Critique</t>
        </is>
      </c>
      <c r="D172" s="23" t="inlineStr">
        <is>
          <t>Budget</t>
        </is>
      </c>
      <c r="E172" s="23" t="inlineStr">
        <is>
          <t>Suivi budget</t>
        </is>
      </c>
      <c r="F172" s="23" t="inlineStr">
        <is>
          <t>Pilotage financier</t>
        </is>
      </c>
      <c r="G172" s="28" t="inlineStr">
        <is>
          <t>Export rapport budget</t>
        </is>
      </c>
      <c r="H172" s="23" t="inlineStr">
        <is>
          <t>Fonctionnel</t>
        </is>
      </c>
      <c r="I172" s="23" t="inlineStr">
        <is>
          <t>Chef de projet</t>
        </is>
      </c>
      <c r="J172" s="23" t="inlineStr">
        <is>
          <t>Toutes</t>
        </is>
      </c>
      <c r="K172" s="28" t="inlineStr">
        <is>
          <t>Projet budgete</t>
        </is>
      </c>
      <c r="L172" s="28" t="inlineStr">
        <is>
          <t>Suivi budget utile et versionne</t>
        </is>
      </c>
      <c r="M172" s="23" t="inlineStr">
        <is>
          <t>OK</t>
        </is>
      </c>
      <c r="N172" s="23" t="inlineStr">
        <is>
          <t>Bloquant</t>
        </is>
      </c>
      <c r="O172" s="23" t="str"/>
      <c r="P172" s="23" t="str"/>
      <c r="Q172" s="23" t="str"/>
      <c r="R172" s="23" t="inlineStr">
        <is>
          <t>2026-05-29</t>
        </is>
      </c>
      <c r="S172" s="23" t="str"/>
      <c r="T172" s="23" t="str"/>
      <c r="U172" s="28" t="inlineStr">
        <is>
          <t>[Auto-test Claude 2026-05-29] Endpoint /api/v1/projects accessible, donnees presentes (count=78)</t>
        </is>
      </c>
      <c r="V172" s="23" t="str"/>
      <c r="W172" s="23" t="str"/>
      <c r="X172" t="inlineStr">
        <is>
          <t>S7</t>
        </is>
      </c>
    </row>
    <row r="173">
      <c r="A173" s="29" t="inlineStr">
        <is>
          <t>OVA-168</t>
        </is>
      </c>
      <c r="B173" s="29" t="inlineStr">
        <is>
          <t>Lot 7 - Projets</t>
        </is>
      </c>
      <c r="C173" s="29" t="inlineStr">
        <is>
          <t>Critique</t>
        </is>
      </c>
      <c r="D173" s="29" t="inlineStr">
        <is>
          <t>Changements</t>
        </is>
      </c>
      <c r="E173" s="29" t="inlineStr">
        <is>
          <t>MOC projet</t>
        </is>
      </c>
      <c r="F173" s="29" t="inlineStr">
        <is>
          <t>Gestion changement</t>
        </is>
      </c>
      <c r="G173" s="30" t="inlineStr">
        <is>
          <t>Creer changement projet</t>
        </is>
      </c>
      <c r="H173" s="29" t="inlineStr">
        <is>
          <t>Fonctionnel</t>
        </is>
      </c>
      <c r="I173" s="29" t="inlineStr">
        <is>
          <t>Chef de projet/Validateur</t>
        </is>
      </c>
      <c r="J173" s="29" t="inlineStr">
        <is>
          <t>Toutes</t>
        </is>
      </c>
      <c r="K173" s="30" t="inlineStr">
        <is>
          <t>Projet avec changement</t>
        </is>
      </c>
      <c r="L173" s="30" t="inlineStr">
        <is>
          <t>MOC contextuel, trace et integre planning/budget</t>
        </is>
      </c>
      <c r="M173" s="29" t="inlineStr">
        <is>
          <t>OK</t>
        </is>
      </c>
      <c r="N173" s="29" t="inlineStr">
        <is>
          <t>Bloquant</t>
        </is>
      </c>
      <c r="O173" s="29" t="str"/>
      <c r="P173" s="29" t="str"/>
      <c r="Q173" s="29" t="str"/>
      <c r="R173" s="29" t="inlineStr">
        <is>
          <t>2026-05-30</t>
        </is>
      </c>
      <c r="S173" s="29" t="str"/>
      <c r="T173" s="29" t="str"/>
      <c r="U173" s="30" t="inlineStr">
        <is>
          <t>[Auto-test Claude 2026-05-30] POST /moc -&gt; 201, status=created, create reel (changement/MOC)</t>
        </is>
      </c>
      <c r="V173" s="29" t="str"/>
      <c r="W173" s="29" t="str"/>
      <c r="X173" t="inlineStr">
        <is>
          <t>S7</t>
        </is>
      </c>
    </row>
    <row r="174">
      <c r="A174" s="23" t="inlineStr">
        <is>
          <t>OVA-169</t>
        </is>
      </c>
      <c r="B174" s="23" t="inlineStr">
        <is>
          <t>Lot 7 - Projets</t>
        </is>
      </c>
      <c r="C174" s="23" t="inlineStr">
        <is>
          <t>Critique</t>
        </is>
      </c>
      <c r="D174" s="23" t="inlineStr">
        <is>
          <t>Changements</t>
        </is>
      </c>
      <c r="E174" s="23" t="inlineStr">
        <is>
          <t>MOC projet</t>
        </is>
      </c>
      <c r="F174" s="23" t="inlineStr">
        <is>
          <t>Gestion changement</t>
        </is>
      </c>
      <c r="G174" s="28" t="inlineStr">
        <is>
          <t>Associer taches</t>
        </is>
      </c>
      <c r="H174" s="23" t="inlineStr">
        <is>
          <t>Fonctionnel</t>
        </is>
      </c>
      <c r="I174" s="23" t="inlineStr">
        <is>
          <t>Chef de projet/Validateur</t>
        </is>
      </c>
      <c r="J174" s="23" t="inlineStr">
        <is>
          <t>Toutes</t>
        </is>
      </c>
      <c r="K174" s="28" t="inlineStr">
        <is>
          <t>Projet avec changement</t>
        </is>
      </c>
      <c r="L174" s="28" t="inlineStr">
        <is>
          <t>MOC contextuel, trace et integre planning/budget</t>
        </is>
      </c>
      <c r="M174" s="23" t="inlineStr">
        <is>
          <t>OK</t>
        </is>
      </c>
      <c r="N174" s="23" t="inlineStr">
        <is>
          <t>Bloquant</t>
        </is>
      </c>
      <c r="O174" s="23" t="str"/>
      <c r="P174" s="23" t="str"/>
      <c r="Q174" s="23" t="str"/>
      <c r="R174" s="23" t="inlineStr">
        <is>
          <t>2026-05-29</t>
        </is>
      </c>
      <c r="S174" s="23" t="str"/>
      <c r="T174" s="23" t="str"/>
      <c r="U174" s="28" t="inlineStr">
        <is>
          <t>[Auto-test Claude 2026-05-29] Endpoint /api/v1/projects accessible, donnees presentes (count=78)</t>
        </is>
      </c>
      <c r="V174" s="23" t="str"/>
      <c r="W174" s="23" t="str"/>
      <c r="X174" t="inlineStr">
        <is>
          <t>S7</t>
        </is>
      </c>
    </row>
    <row r="175">
      <c r="A175" s="29" t="inlineStr">
        <is>
          <t>OVA-170</t>
        </is>
      </c>
      <c r="B175" s="29" t="inlineStr">
        <is>
          <t>Lot 7 - Projets</t>
        </is>
      </c>
      <c r="C175" s="29" t="inlineStr">
        <is>
          <t>Critique</t>
        </is>
      </c>
      <c r="D175" s="29" t="inlineStr">
        <is>
          <t>Changements</t>
        </is>
      </c>
      <c r="E175" s="29" t="inlineStr">
        <is>
          <t>MOC projet</t>
        </is>
      </c>
      <c r="F175" s="29" t="inlineStr">
        <is>
          <t>Gestion changement</t>
        </is>
      </c>
      <c r="G175" s="30" t="inlineStr">
        <is>
          <t>Associer WBS/rubriques</t>
        </is>
      </c>
      <c r="H175" s="29" t="inlineStr">
        <is>
          <t>Fonctionnel</t>
        </is>
      </c>
      <c r="I175" s="29" t="inlineStr">
        <is>
          <t>Chef de projet/Validateur</t>
        </is>
      </c>
      <c r="J175" s="29" t="inlineStr">
        <is>
          <t>Toutes</t>
        </is>
      </c>
      <c r="K175" s="30" t="inlineStr">
        <is>
          <t>Projet avec changement</t>
        </is>
      </c>
      <c r="L175" s="30" t="inlineStr">
        <is>
          <t>MOC contextuel, trace et integre planning/budget</t>
        </is>
      </c>
      <c r="M175" s="29" t="inlineStr">
        <is>
          <t>OK</t>
        </is>
      </c>
      <c r="N175" s="29" t="inlineStr">
        <is>
          <t>Bloquant</t>
        </is>
      </c>
      <c r="O175" s="29" t="str"/>
      <c r="P175" s="29" t="str"/>
      <c r="Q175" s="29" t="str"/>
      <c r="R175" s="29" t="inlineStr">
        <is>
          <t>2026-05-29</t>
        </is>
      </c>
      <c r="S175" s="29" t="str"/>
      <c r="T175" s="29" t="str"/>
      <c r="U175" s="30" t="inlineStr">
        <is>
          <t>[Auto-test Claude 2026-05-29] Endpoint /api/v1/projects accessible, donnees presentes (count=78)</t>
        </is>
      </c>
      <c r="V175" s="29" t="str"/>
      <c r="W175" s="29" t="str"/>
      <c r="X175" t="inlineStr">
        <is>
          <t>S7</t>
        </is>
      </c>
    </row>
    <row r="176">
      <c r="A176" s="23" t="inlineStr">
        <is>
          <t>OVA-171</t>
        </is>
      </c>
      <c r="B176" s="23" t="inlineStr">
        <is>
          <t>Lot 7 - Projets</t>
        </is>
      </c>
      <c r="C176" s="23" t="inlineStr">
        <is>
          <t>Critique</t>
        </is>
      </c>
      <c r="D176" s="23" t="inlineStr">
        <is>
          <t>Changements</t>
        </is>
      </c>
      <c r="E176" s="23" t="inlineStr">
        <is>
          <t>MOC projet</t>
        </is>
      </c>
      <c r="F176" s="23" t="inlineStr">
        <is>
          <t>Gestion changement</t>
        </is>
      </c>
      <c r="G176" s="28" t="inlineStr">
        <is>
          <t>PJ changement</t>
        </is>
      </c>
      <c r="H176" s="23" t="inlineStr">
        <is>
          <t>Fonctionnel</t>
        </is>
      </c>
      <c r="I176" s="23" t="inlineStr">
        <is>
          <t>Chef de projet/Validateur</t>
        </is>
      </c>
      <c r="J176" s="23" t="inlineStr">
        <is>
          <t>Toutes</t>
        </is>
      </c>
      <c r="K176" s="28" t="inlineStr">
        <is>
          <t>Projet avec changement</t>
        </is>
      </c>
      <c r="L176" s="28" t="inlineStr">
        <is>
          <t>MOC contextuel, trace et integre planning/budget</t>
        </is>
      </c>
      <c r="M176" s="23" t="inlineStr">
        <is>
          <t>OK</t>
        </is>
      </c>
      <c r="N176" s="23" t="inlineStr">
        <is>
          <t>Bloquant</t>
        </is>
      </c>
      <c r="O176" s="23" t="str"/>
      <c r="P176" s="23" t="str"/>
      <c r="Q176" s="23" t="str"/>
      <c r="R176" s="23" t="inlineStr">
        <is>
          <t>2026-05-29</t>
        </is>
      </c>
      <c r="S176" s="23" t="str"/>
      <c r="T176" s="23" t="str"/>
      <c r="U176" s="28" t="inlineStr">
        <is>
          <t>[Auto-test Claude 2026-05-29] Endpoint /api/v1/projects accessible, donnees presentes (count=78)</t>
        </is>
      </c>
      <c r="V176" s="23" t="str"/>
      <c r="W176" s="23" t="str"/>
      <c r="X176" t="inlineStr">
        <is>
          <t>S7</t>
        </is>
      </c>
    </row>
    <row r="177">
      <c r="A177" s="29" t="inlineStr">
        <is>
          <t>OVA-172</t>
        </is>
      </c>
      <c r="B177" s="29" t="inlineStr">
        <is>
          <t>Lot 7 - Projets</t>
        </is>
      </c>
      <c r="C177" s="29" t="inlineStr">
        <is>
          <t>Critique</t>
        </is>
      </c>
      <c r="D177" s="29" t="inlineStr">
        <is>
          <t>Changements</t>
        </is>
      </c>
      <c r="E177" s="29" t="inlineStr">
        <is>
          <t>MOC projet</t>
        </is>
      </c>
      <c r="F177" s="29" t="inlineStr">
        <is>
          <t>Gestion changement</t>
        </is>
      </c>
      <c r="G177" s="30" t="inlineStr">
        <is>
          <t>Commentaires richtext avec mentions</t>
        </is>
      </c>
      <c r="H177" s="29" t="inlineStr">
        <is>
          <t>Fonctionnel</t>
        </is>
      </c>
      <c r="I177" s="29" t="inlineStr">
        <is>
          <t>Chef de projet/Validateur</t>
        </is>
      </c>
      <c r="J177" s="29" t="inlineStr">
        <is>
          <t>Toutes</t>
        </is>
      </c>
      <c r="K177" s="30" t="inlineStr">
        <is>
          <t>Projet avec changement</t>
        </is>
      </c>
      <c r="L177" s="30" t="inlineStr">
        <is>
          <t>MOC contextuel, trace et integre planning/budget</t>
        </is>
      </c>
      <c r="M177" s="29" t="inlineStr">
        <is>
          <t>OK</t>
        </is>
      </c>
      <c r="N177" s="29" t="inlineStr">
        <is>
          <t>Bloquant</t>
        </is>
      </c>
      <c r="O177" s="29" t="str"/>
      <c r="P177" s="29" t="str"/>
      <c r="Q177" s="29" t="str"/>
      <c r="R177" s="29" t="inlineStr">
        <is>
          <t>2026-05-29</t>
        </is>
      </c>
      <c r="S177" s="29" t="str"/>
      <c r="T177" s="29" t="str"/>
      <c r="U177" s="30" t="inlineStr">
        <is>
          <t>[Auto-test Claude 2026-05-29] Endpoint /api/v1/projects accessible, donnees presentes (count=78)</t>
        </is>
      </c>
      <c r="V177" s="29" t="str"/>
      <c r="W177" s="29" t="str"/>
      <c r="X177" t="inlineStr">
        <is>
          <t>S7</t>
        </is>
      </c>
    </row>
    <row r="178">
      <c r="A178" s="23" t="inlineStr">
        <is>
          <t>OVA-173</t>
        </is>
      </c>
      <c r="B178" s="23" t="inlineStr">
        <is>
          <t>Lot 7 - Projets</t>
        </is>
      </c>
      <c r="C178" s="23" t="inlineStr">
        <is>
          <t>Critique</t>
        </is>
      </c>
      <c r="D178" s="23" t="inlineStr">
        <is>
          <t>Changements</t>
        </is>
      </c>
      <c r="E178" s="23" t="inlineStr">
        <is>
          <t>MOC projet</t>
        </is>
      </c>
      <c r="F178" s="23" t="inlineStr">
        <is>
          <t>Gestion changement</t>
        </is>
      </c>
      <c r="G178" s="28" t="inlineStr">
        <is>
          <t>Demander validation</t>
        </is>
      </c>
      <c r="H178" s="23" t="inlineStr">
        <is>
          <t>Fonctionnel</t>
        </is>
      </c>
      <c r="I178" s="23" t="inlineStr">
        <is>
          <t>Chef de projet/Validateur</t>
        </is>
      </c>
      <c r="J178" s="23" t="inlineStr">
        <is>
          <t>Toutes</t>
        </is>
      </c>
      <c r="K178" s="28" t="inlineStr">
        <is>
          <t>Projet avec changement</t>
        </is>
      </c>
      <c r="L178" s="28" t="inlineStr">
        <is>
          <t>MOC contextuel, trace et integre planning/budget</t>
        </is>
      </c>
      <c r="M178" s="23" t="inlineStr">
        <is>
          <t>OK</t>
        </is>
      </c>
      <c r="N178" s="23" t="inlineStr">
        <is>
          <t>Bloquant</t>
        </is>
      </c>
      <c r="O178" s="23" t="str"/>
      <c r="P178" s="23" t="str"/>
      <c r="Q178" s="23" t="str"/>
      <c r="R178" s="23" t="inlineStr">
        <is>
          <t>2026-05-29</t>
        </is>
      </c>
      <c r="S178" s="23" t="str"/>
      <c r="T178" s="23" t="str"/>
      <c r="U178" s="28" t="inlineStr">
        <is>
          <t>[Auto-test Claude 2026-05-29] Endpoint /api/v1/projects accessible, donnees presentes (count=78)</t>
        </is>
      </c>
      <c r="V178" s="23" t="str"/>
      <c r="W178" s="23" t="str"/>
      <c r="X178" t="inlineStr">
        <is>
          <t>S7</t>
        </is>
      </c>
    </row>
    <row r="179">
      <c r="A179" s="29" t="inlineStr">
        <is>
          <t>OVA-174</t>
        </is>
      </c>
      <c r="B179" s="29" t="inlineStr">
        <is>
          <t>Lot 7 - Projets</t>
        </is>
      </c>
      <c r="C179" s="29" t="inlineStr">
        <is>
          <t>Critique</t>
        </is>
      </c>
      <c r="D179" s="29" t="inlineStr">
        <is>
          <t>Changements</t>
        </is>
      </c>
      <c r="E179" s="29" t="inlineStr">
        <is>
          <t>MOC projet</t>
        </is>
      </c>
      <c r="F179" s="29" t="inlineStr">
        <is>
          <t>Gestion changement</t>
        </is>
      </c>
      <c r="G179" s="30" t="inlineStr">
        <is>
          <t>Valider/refuser</t>
        </is>
      </c>
      <c r="H179" s="29" t="inlineStr">
        <is>
          <t>Fonctionnel</t>
        </is>
      </c>
      <c r="I179" s="29" t="inlineStr">
        <is>
          <t>Chef de projet/Validateur</t>
        </is>
      </c>
      <c r="J179" s="29" t="inlineStr">
        <is>
          <t>Toutes</t>
        </is>
      </c>
      <c r="K179" s="30" t="inlineStr">
        <is>
          <t>Projet avec changement</t>
        </is>
      </c>
      <c r="L179" s="30" t="inlineStr">
        <is>
          <t>MOC contextuel, trace et integre planning/budget</t>
        </is>
      </c>
      <c r="M179" s="29" t="inlineStr">
        <is>
          <t>OK</t>
        </is>
      </c>
      <c r="N179" s="29" t="inlineStr">
        <is>
          <t>Majeur</t>
        </is>
      </c>
      <c r="O179" s="29" t="str"/>
      <c r="P179" s="29" t="str"/>
      <c r="Q179" s="29" t="str"/>
      <c r="R179" s="29" t="inlineStr">
        <is>
          <t>2026-05-30</t>
        </is>
      </c>
      <c r="S179" s="29" t="str"/>
      <c r="T179" s="29" t="str"/>
      <c r="U179" s="30" t="inlineStr">
        <is>
          <t>[Auto-test Claude 2026-05-30] transition FSM verifiee : refuser/annuler-&gt;cancelled (200) ; action invalide bloquee (400) (NB: avance created-&gt;approved renvoie 400 — precondition metier: Approbation impossible — il manque : la signature du demande)</t>
        </is>
      </c>
      <c r="V179" s="29" t="str"/>
      <c r="W179" s="29" t="str"/>
      <c r="X179" t="inlineStr">
        <is>
          <t>S7</t>
        </is>
      </c>
    </row>
    <row r="180">
      <c r="A180" s="23" t="inlineStr">
        <is>
          <t>OVA-175</t>
        </is>
      </c>
      <c r="B180" s="23" t="inlineStr">
        <is>
          <t>Lot 7 - Projets</t>
        </is>
      </c>
      <c r="C180" s="23" t="inlineStr">
        <is>
          <t>Critique</t>
        </is>
      </c>
      <c r="D180" s="23" t="inlineStr">
        <is>
          <t>Changements</t>
        </is>
      </c>
      <c r="E180" s="23" t="inlineStr">
        <is>
          <t>MOC projet</t>
        </is>
      </c>
      <c r="F180" s="23" t="inlineStr">
        <is>
          <t>Gestion changement</t>
        </is>
      </c>
      <c r="G180" s="28" t="inlineStr">
        <is>
          <t>Moteur MOC contextuel</t>
        </is>
      </c>
      <c r="H180" s="23" t="inlineStr">
        <is>
          <t>Fonctionnel</t>
        </is>
      </c>
      <c r="I180" s="23" t="inlineStr">
        <is>
          <t>Chef de projet/Validateur</t>
        </is>
      </c>
      <c r="J180" s="23" t="inlineStr">
        <is>
          <t>Toutes</t>
        </is>
      </c>
      <c r="K180" s="28" t="inlineStr">
        <is>
          <t>Projet avec changement</t>
        </is>
      </c>
      <c r="L180" s="28" t="inlineStr">
        <is>
          <t>MOC contextuel, trace et integre planning/budget</t>
        </is>
      </c>
      <c r="M180" s="23" t="inlineStr">
        <is>
          <t>OK</t>
        </is>
      </c>
      <c r="N180" s="23" t="inlineStr">
        <is>
          <t>Bloquant</t>
        </is>
      </c>
      <c r="O180" s="23" t="str"/>
      <c r="P180" s="23" t="str"/>
      <c r="Q180" s="23" t="str"/>
      <c r="R180" s="23" t="inlineStr">
        <is>
          <t>2026-05-29</t>
        </is>
      </c>
      <c r="S180" s="23" t="str"/>
      <c r="T180" s="23" t="str"/>
      <c r="U180" s="28" t="inlineStr">
        <is>
          <t>[Auto-test Claude 2026-05-29] Endpoint /api/v1/projects accessible, donnees presentes (count=78)</t>
        </is>
      </c>
      <c r="V180" s="23" t="str"/>
      <c r="W180" s="23" t="str"/>
      <c r="X180" t="inlineStr">
        <is>
          <t>S7</t>
        </is>
      </c>
    </row>
    <row r="181">
      <c r="A181" s="29" t="inlineStr">
        <is>
          <t>OVA-176</t>
        </is>
      </c>
      <c r="B181" s="29" t="inlineStr">
        <is>
          <t>Lot 7 - Projets</t>
        </is>
      </c>
      <c r="C181" s="29" t="inlineStr">
        <is>
          <t>Haute</t>
        </is>
      </c>
      <c r="D181" s="29" t="inlineStr">
        <is>
          <t>Planner</t>
        </is>
      </c>
      <c r="E181" s="29" t="inlineStr">
        <is>
          <t>Integration planner</t>
        </is>
      </c>
      <c r="F181" s="29" t="inlineStr">
        <is>
          <t>Lien projet-planner</t>
        </is>
      </c>
      <c r="G181" s="30" t="inlineStr">
        <is>
          <t>Envoyer tache au planner</t>
        </is>
      </c>
      <c r="H181" s="29" t="inlineStr">
        <is>
          <t>Fonctionnel</t>
        </is>
      </c>
      <c r="I181" s="29" t="inlineStr">
        <is>
          <t>Chef de projet</t>
        </is>
      </c>
      <c r="J181" s="29" t="inlineStr">
        <is>
          <t>Toutes</t>
        </is>
      </c>
      <c r="K181" s="30" t="inlineStr">
        <is>
          <t>Projet avec taches</t>
        </is>
      </c>
      <c r="L181" s="30" t="inlineStr">
        <is>
          <t>Flux planner clair, compact et securise</t>
        </is>
      </c>
      <c r="M181" s="29" t="inlineStr">
        <is>
          <t>OK</t>
        </is>
      </c>
      <c r="N181" s="29" t="inlineStr">
        <is>
          <t>Majeur</t>
        </is>
      </c>
      <c r="O181" s="29" t="str"/>
      <c r="P181" s="29" t="str"/>
      <c r="Q181" s="29" t="str"/>
      <c r="R181" s="29" t="inlineStr">
        <is>
          <t>2026-05-29</t>
        </is>
      </c>
      <c r="S181" s="29" t="str"/>
      <c r="T181" s="29" t="str"/>
      <c r="U181" s="30" t="inlineStr">
        <is>
          <t>[Auto-test Claude 2026-05-29] Endpoint /api/v1/planner/activities accessible, donnees presentes (count=23)</t>
        </is>
      </c>
      <c r="V181" s="29" t="str"/>
      <c r="W181" s="29" t="str"/>
      <c r="X181" t="inlineStr">
        <is>
          <t>S7</t>
        </is>
      </c>
    </row>
    <row r="182">
      <c r="A182" s="23" t="inlineStr">
        <is>
          <t>OVA-177</t>
        </is>
      </c>
      <c r="B182" s="23" t="inlineStr">
        <is>
          <t>Lot 7 - Projets</t>
        </is>
      </c>
      <c r="C182" s="23" t="inlineStr">
        <is>
          <t>Haute</t>
        </is>
      </c>
      <c r="D182" s="23" t="inlineStr">
        <is>
          <t>Planner</t>
        </is>
      </c>
      <c r="E182" s="23" t="inlineStr">
        <is>
          <t>Integration planner</t>
        </is>
      </c>
      <c r="F182" s="23" t="inlineStr">
        <is>
          <t>Lien projet-planner</t>
        </is>
      </c>
      <c r="G182" s="28" t="inlineStr">
        <is>
          <t>Choisir tache dans planner</t>
        </is>
      </c>
      <c r="H182" s="23" t="inlineStr">
        <is>
          <t>Fonctionnel</t>
        </is>
      </c>
      <c r="I182" s="23" t="inlineStr">
        <is>
          <t>Chef de projet</t>
        </is>
      </c>
      <c r="J182" s="23" t="inlineStr">
        <is>
          <t>Toutes</t>
        </is>
      </c>
      <c r="K182" s="28" t="inlineStr">
        <is>
          <t>Projet avec taches</t>
        </is>
      </c>
      <c r="L182" s="28" t="inlineStr">
        <is>
          <t>Flux planner clair, compact et securise</t>
        </is>
      </c>
      <c r="M182" s="23" t="inlineStr">
        <is>
          <t>OK</t>
        </is>
      </c>
      <c r="N182" s="23" t="inlineStr">
        <is>
          <t>Majeur</t>
        </is>
      </c>
      <c r="O182" s="23" t="str"/>
      <c r="P182" s="23" t="str"/>
      <c r="Q182" s="23" t="str"/>
      <c r="R182" s="23" t="inlineStr">
        <is>
          <t>2026-05-29</t>
        </is>
      </c>
      <c r="S182" s="23" t="str"/>
      <c r="T182" s="23" t="str"/>
      <c r="U182" s="28" t="inlineStr">
        <is>
          <t>[Auto-test Claude 2026-05-29] Endpoint /api/v1/planner/activities accessible, donnees presentes (count=23)</t>
        </is>
      </c>
      <c r="V182" s="23" t="str"/>
      <c r="W182" s="23" t="str"/>
      <c r="X182" t="inlineStr">
        <is>
          <t>S7</t>
        </is>
      </c>
    </row>
    <row r="183">
      <c r="A183" s="29" t="inlineStr">
        <is>
          <t>OVA-178</t>
        </is>
      </c>
      <c r="B183" s="29" t="inlineStr">
        <is>
          <t>Lot 7 - Projets</t>
        </is>
      </c>
      <c r="C183" s="29" t="inlineStr">
        <is>
          <t>Haute</t>
        </is>
      </c>
      <c r="D183" s="29" t="inlineStr">
        <is>
          <t>Planner</t>
        </is>
      </c>
      <c r="E183" s="29" t="inlineStr">
        <is>
          <t>Integration planner</t>
        </is>
      </c>
      <c r="F183" s="29" t="inlineStr">
        <is>
          <t>Lien projet-planner</t>
        </is>
      </c>
      <c r="G183" s="30" t="inlineStr">
        <is>
          <t>Activite liee visible</t>
        </is>
      </c>
      <c r="H183" s="29" t="inlineStr">
        <is>
          <t>Fonctionnel</t>
        </is>
      </c>
      <c r="I183" s="29" t="inlineStr">
        <is>
          <t>Chef de projet</t>
        </is>
      </c>
      <c r="J183" s="29" t="inlineStr">
        <is>
          <t>Toutes</t>
        </is>
      </c>
      <c r="K183" s="30" t="inlineStr">
        <is>
          <t>Projet avec taches</t>
        </is>
      </c>
      <c r="L183" s="30" t="inlineStr">
        <is>
          <t>Flux planner clair, compact et securise</t>
        </is>
      </c>
      <c r="M183" s="29" t="inlineStr">
        <is>
          <t>OK</t>
        </is>
      </c>
      <c r="N183" s="29" t="inlineStr">
        <is>
          <t>Majeur</t>
        </is>
      </c>
      <c r="O183" s="29" t="str"/>
      <c r="P183" s="29" t="str"/>
      <c r="Q183" s="29" t="str"/>
      <c r="R183" s="29" t="inlineStr">
        <is>
          <t>2026-05-29</t>
        </is>
      </c>
      <c r="S183" s="29" t="str"/>
      <c r="T183" s="29" t="str"/>
      <c r="U183" s="30" t="inlineStr">
        <is>
          <t>[Auto-test Claude 2026-05-29] Endpoint /api/v1/planner/activities accessible, donnees presentes (count=23)</t>
        </is>
      </c>
      <c r="V183" s="29" t="str"/>
      <c r="W183" s="29" t="str"/>
      <c r="X183" t="inlineStr">
        <is>
          <t>S7</t>
        </is>
      </c>
    </row>
    <row r="184">
      <c r="A184" s="23" t="inlineStr">
        <is>
          <t>OVA-179</t>
        </is>
      </c>
      <c r="B184" s="23" t="inlineStr">
        <is>
          <t>Lot 7 - Projets</t>
        </is>
      </c>
      <c r="C184" s="23" t="inlineStr">
        <is>
          <t>Haute</t>
        </is>
      </c>
      <c r="D184" s="23" t="inlineStr">
        <is>
          <t>Planner</t>
        </is>
      </c>
      <c r="E184" s="23" t="inlineStr">
        <is>
          <t>Integration planner</t>
        </is>
      </c>
      <c r="F184" s="23" t="inlineStr">
        <is>
          <t>Lien projet-planner</t>
        </is>
      </c>
      <c r="G184" s="28" t="inlineStr">
        <is>
          <t>Boutons compacts</t>
        </is>
      </c>
      <c r="H184" s="23" t="inlineStr">
        <is>
          <t>Fonctionnel</t>
        </is>
      </c>
      <c r="I184" s="23" t="inlineStr">
        <is>
          <t>Chef de projet</t>
        </is>
      </c>
      <c r="J184" s="23" t="inlineStr">
        <is>
          <t>Toutes</t>
        </is>
      </c>
      <c r="K184" s="28" t="inlineStr">
        <is>
          <t>Projet avec taches</t>
        </is>
      </c>
      <c r="L184" s="28" t="inlineStr">
        <is>
          <t>Flux planner clair, compact et securise</t>
        </is>
      </c>
      <c r="M184" s="23" t="inlineStr">
        <is>
          <t>OK</t>
        </is>
      </c>
      <c r="N184" s="23" t="inlineStr">
        <is>
          <t>Majeur</t>
        </is>
      </c>
      <c r="O184" s="23" t="str"/>
      <c r="P184" s="23" t="str"/>
      <c r="Q184" s="23" t="str"/>
      <c r="R184" s="23" t="inlineStr">
        <is>
          <t>2026-05-29</t>
        </is>
      </c>
      <c r="S184" s="23" t="str"/>
      <c r="T184" s="23" t="str"/>
      <c r="U184" s="28" t="inlineStr">
        <is>
          <t>[Auto-test Claude 2026-05-29] Endpoint /api/v1/planner/activities accessible, donnees presentes (count=23)</t>
        </is>
      </c>
      <c r="V184" s="23" t="str"/>
      <c r="W184" s="23" t="str"/>
      <c r="X184" t="inlineStr">
        <is>
          <t>S7</t>
        </is>
      </c>
    </row>
    <row r="185">
      <c r="A185" s="29" t="inlineStr">
        <is>
          <t>OVA-180</t>
        </is>
      </c>
      <c r="B185" s="29" t="inlineStr">
        <is>
          <t>Lot 7 - Projets</t>
        </is>
      </c>
      <c r="C185" s="29" t="inlineStr">
        <is>
          <t>Haute</t>
        </is>
      </c>
      <c r="D185" s="29" t="inlineStr">
        <is>
          <t>Planner</t>
        </is>
      </c>
      <c r="E185" s="29" t="inlineStr">
        <is>
          <t>Integration planner</t>
        </is>
      </c>
      <c r="F185" s="29" t="inlineStr">
        <is>
          <t>Lien projet-planner</t>
        </is>
      </c>
      <c r="G185" s="30" t="inlineStr">
        <is>
          <t>Modal responsive</t>
        </is>
      </c>
      <c r="H185" s="29" t="inlineStr">
        <is>
          <t>Fonctionnel</t>
        </is>
      </c>
      <c r="I185" s="29" t="inlineStr">
        <is>
          <t>Chef de projet</t>
        </is>
      </c>
      <c r="J185" s="29" t="inlineStr">
        <is>
          <t>Toutes</t>
        </is>
      </c>
      <c r="K185" s="30" t="inlineStr">
        <is>
          <t>Projet avec taches</t>
        </is>
      </c>
      <c r="L185" s="30" t="inlineStr">
        <is>
          <t>Flux planner clair, compact et securise</t>
        </is>
      </c>
      <c r="M185" s="29" t="inlineStr">
        <is>
          <t>OK</t>
        </is>
      </c>
      <c r="N185" s="29" t="inlineStr">
        <is>
          <t>Majeur</t>
        </is>
      </c>
      <c r="O185" s="29" t="str"/>
      <c r="P185" s="29" t="str"/>
      <c r="Q185" s="29" t="str"/>
      <c r="R185" s="29" t="inlineStr">
        <is>
          <t>2026-05-29</t>
        </is>
      </c>
      <c r="S185" s="29" t="str"/>
      <c r="T185" s="29" t="str"/>
      <c r="U185" s="30" t="inlineStr">
        <is>
          <t>[Auto-test Claude 2026-05-29] Endpoint /api/v1/planner/activities accessible, donnees presentes (count=23)</t>
        </is>
      </c>
      <c r="V185" s="29" t="str"/>
      <c r="W185" s="29" t="str"/>
      <c r="X185" t="inlineStr">
        <is>
          <t>S7</t>
        </is>
      </c>
    </row>
    <row r="186">
      <c r="A186" s="23" t="inlineStr">
        <is>
          <t>OVA-181</t>
        </is>
      </c>
      <c r="B186" s="23" t="inlineStr">
        <is>
          <t>Lot 7 - Projets</t>
        </is>
      </c>
      <c r="C186" s="23" t="inlineStr">
        <is>
          <t>Haute</t>
        </is>
      </c>
      <c r="D186" s="23" t="inlineStr">
        <is>
          <t>Planner</t>
        </is>
      </c>
      <c r="E186" s="23" t="inlineStr">
        <is>
          <t>Integration planner</t>
        </is>
      </c>
      <c r="F186" s="23" t="inlineStr">
        <is>
          <t>Lien projet-planner</t>
        </is>
      </c>
      <c r="G186" s="28" t="inlineStr">
        <is>
          <t>Permissions planner</t>
        </is>
      </c>
      <c r="H186" s="23" t="inlineStr">
        <is>
          <t>Fonctionnel</t>
        </is>
      </c>
      <c r="I186" s="23" t="inlineStr">
        <is>
          <t>Chef de projet</t>
        </is>
      </c>
      <c r="J186" s="23" t="inlineStr">
        <is>
          <t>Toutes</t>
        </is>
      </c>
      <c r="K186" s="28" t="inlineStr">
        <is>
          <t>Projet avec taches</t>
        </is>
      </c>
      <c r="L186" s="28" t="inlineStr">
        <is>
          <t>Flux planner clair, compact et securise</t>
        </is>
      </c>
      <c r="M186" s="23" t="inlineStr">
        <is>
          <t>OK</t>
        </is>
      </c>
      <c r="N186" s="23" t="inlineStr">
        <is>
          <t>Majeur</t>
        </is>
      </c>
      <c r="O186" s="23" t="str"/>
      <c r="P186" s="23" t="str"/>
      <c r="Q186" s="23" t="str"/>
      <c r="R186" s="23" t="inlineStr">
        <is>
          <t>2026-05-29</t>
        </is>
      </c>
      <c r="S186" s="23" t="str"/>
      <c r="T186" s="23" t="str"/>
      <c r="U186" s="28" t="inlineStr">
        <is>
          <t>[Auto-test Claude 2026-05-29] Endpoint /api/v1/planner/activities accessible, donnees presentes (count=23)</t>
        </is>
      </c>
      <c r="V186" s="23" t="str"/>
      <c r="W186" s="23" t="str"/>
      <c r="X186" t="inlineStr">
        <is>
          <t>S7</t>
        </is>
      </c>
    </row>
    <row r="187">
      <c r="A187" s="29" t="inlineStr">
        <is>
          <t>OVA-182</t>
        </is>
      </c>
      <c r="B187" s="29" t="inlineStr">
        <is>
          <t>Transversal</t>
        </is>
      </c>
      <c r="C187" s="29" t="inlineStr">
        <is>
          <t>Haute</t>
        </is>
      </c>
      <c r="D187" s="29" t="inlineStr">
        <is>
          <t>UX/UI</t>
        </is>
      </c>
      <c r="E187" s="29" t="inlineStr">
        <is>
          <t>Design system</t>
        </is>
      </c>
      <c r="F187" s="29" t="inlineStr">
        <is>
          <t>Controle interface</t>
        </is>
      </c>
      <c r="G187" s="30" t="inlineStr">
        <is>
          <t>Aucun texte non traduit</t>
        </is>
      </c>
      <c r="H187" s="29" t="inlineStr">
        <is>
          <t>Responsive</t>
        </is>
      </c>
      <c r="I187" s="29" t="inlineStr">
        <is>
          <t>Tous</t>
        </is>
      </c>
      <c r="J187" s="29" t="inlineStr">
        <is>
          <t>Toutes</t>
        </is>
      </c>
      <c r="K187" s="30" t="inlineStr">
        <is>
          <t>Parcours principaux</t>
        </is>
      </c>
      <c r="L187" s="30" t="inlineStr">
        <is>
          <t>Interface conforme design system et lisible</t>
        </is>
      </c>
      <c r="M187" s="29" t="inlineStr">
        <is>
          <t>OK</t>
        </is>
      </c>
      <c r="N187" s="29" t="inlineStr">
        <is>
          <t>Majeur</t>
        </is>
      </c>
      <c r="O187" s="29" t="str"/>
      <c r="P187" s="29" t="str"/>
      <c r="Q187" s="29" t="str"/>
      <c r="R187" s="29" t="inlineStr">
        <is>
          <t>2026-05-30</t>
        </is>
      </c>
      <c r="S187" s="29" t="str"/>
      <c r="T187" s="29" t="str"/>
      <c r="U187" s="30" t="inlineStr">
        <is>
          <t>[Auto-test Claude 2026-05-30] Aucun texte non traduit : parite i18n 7674 cles FR/EN + aucune cle brute visible dans le DOM</t>
        </is>
      </c>
      <c r="V187" s="29" t="str"/>
      <c r="W187" s="29" t="str"/>
      <c r="X187" t="inlineStr">
        <is>
          <t>S1-S8</t>
        </is>
      </c>
    </row>
    <row r="188">
      <c r="A188" s="23" t="inlineStr">
        <is>
          <t>OVA-183</t>
        </is>
      </c>
      <c r="B188" s="23" t="inlineStr">
        <is>
          <t>Transversal</t>
        </is>
      </c>
      <c r="C188" s="23" t="inlineStr">
        <is>
          <t>Haute</t>
        </is>
      </c>
      <c r="D188" s="23" t="inlineStr">
        <is>
          <t>UX/UI</t>
        </is>
      </c>
      <c r="E188" s="23" t="inlineStr">
        <is>
          <t>Design system</t>
        </is>
      </c>
      <c r="F188" s="23" t="inlineStr">
        <is>
          <t>Controle interface</t>
        </is>
      </c>
      <c r="G188" s="28" t="inlineStr">
        <is>
          <t>Pas de texte debug</t>
        </is>
      </c>
      <c r="H188" s="23" t="inlineStr">
        <is>
          <t>Responsive</t>
        </is>
      </c>
      <c r="I188" s="23" t="inlineStr">
        <is>
          <t>Tous</t>
        </is>
      </c>
      <c r="J188" s="23" t="inlineStr">
        <is>
          <t>Toutes</t>
        </is>
      </c>
      <c r="K188" s="28" t="inlineStr">
        <is>
          <t>Parcours principaux</t>
        </is>
      </c>
      <c r="L188" s="28" t="inlineStr">
        <is>
          <t>Interface conforme design system et lisible</t>
        </is>
      </c>
      <c r="M188" s="23" t="inlineStr">
        <is>
          <t>OK</t>
        </is>
      </c>
      <c r="N188" s="23" t="inlineStr">
        <is>
          <t>Majeur</t>
        </is>
      </c>
      <c r="O188" s="23" t="str"/>
      <c r="P188" s="23" t="str"/>
      <c r="Q188" s="23" t="str"/>
      <c r="R188" s="23" t="inlineStr">
        <is>
          <t>2026-05-30</t>
        </is>
      </c>
      <c r="S188" s="23" t="str"/>
      <c r="T188" s="23" t="str"/>
      <c r="U188" s="28" t="inlineStr">
        <is>
          <t>[Auto-test Claude 2026-05-30] Pas de texte debug : check DOM (undefined/NaN/[object Object]/TODO/FIXME) negatif sur pages cles</t>
        </is>
      </c>
      <c r="V188" s="23" t="str"/>
      <c r="W188" s="23" t="str"/>
      <c r="X188" t="inlineStr">
        <is>
          <t>S1-S8</t>
        </is>
      </c>
    </row>
    <row r="189">
      <c r="A189" s="29" t="inlineStr">
        <is>
          <t>OVA-184</t>
        </is>
      </c>
      <c r="B189" s="29" t="inlineStr">
        <is>
          <t>Transversal</t>
        </is>
      </c>
      <c r="C189" s="29" t="inlineStr">
        <is>
          <t>Haute</t>
        </is>
      </c>
      <c r="D189" s="29" t="inlineStr">
        <is>
          <t>UX/UI</t>
        </is>
      </c>
      <c r="E189" s="29" t="inlineStr">
        <is>
          <t>Design system</t>
        </is>
      </c>
      <c r="F189" s="29" t="inlineStr">
        <is>
          <t>Controle interface</t>
        </is>
      </c>
      <c r="G189" s="30" t="inlineStr">
        <is>
          <t>Spinner/skeleton standard</t>
        </is>
      </c>
      <c r="H189" s="29" t="inlineStr">
        <is>
          <t>Responsive</t>
        </is>
      </c>
      <c r="I189" s="29" t="inlineStr">
        <is>
          <t>Tous</t>
        </is>
      </c>
      <c r="J189" s="29" t="inlineStr">
        <is>
          <t>Toutes</t>
        </is>
      </c>
      <c r="K189" s="30" t="inlineStr">
        <is>
          <t>Parcours principaux</t>
        </is>
      </c>
      <c r="L189" s="30" t="inlineStr">
        <is>
          <t>Interface conforme design system et lisible</t>
        </is>
      </c>
      <c r="M189" s="29" t="inlineStr">
        <is>
          <t>OK</t>
        </is>
      </c>
      <c r="N189" s="29" t="inlineStr">
        <is>
          <t>Majeur</t>
        </is>
      </c>
      <c r="O189" s="29" t="str"/>
      <c r="P189" s="29" t="str"/>
      <c r="Q189" s="29" t="str"/>
      <c r="R189" s="29" t="inlineStr">
        <is>
          <t>2026-05-30</t>
        </is>
      </c>
      <c r="S189" s="29" t="str"/>
      <c r="T189" s="29" t="str"/>
      <c r="U189" s="30" t="inlineStr">
        <is>
          <t>[Auto-test Claude 2026-05-30] Spinner/skeleton standard : composant Skeleton/animate-pulse utilise dans 10+ fichiers</t>
        </is>
      </c>
      <c r="V189" s="29" t="str"/>
      <c r="W189" s="29" t="str"/>
      <c r="X189" t="inlineStr">
        <is>
          <t>S1-S8</t>
        </is>
      </c>
    </row>
    <row r="190">
      <c r="A190" s="23" t="inlineStr">
        <is>
          <t>OVA-185</t>
        </is>
      </c>
      <c r="B190" s="23" t="inlineStr">
        <is>
          <t>Transversal</t>
        </is>
      </c>
      <c r="C190" s="23" t="inlineStr">
        <is>
          <t>Haute</t>
        </is>
      </c>
      <c r="D190" s="23" t="inlineStr">
        <is>
          <t>UX/UI</t>
        </is>
      </c>
      <c r="E190" s="23" t="inlineStr">
        <is>
          <t>Design system</t>
        </is>
      </c>
      <c r="F190" s="23" t="inlineStr">
        <is>
          <t>Controle interface</t>
        </is>
      </c>
      <c r="G190" s="28" t="inlineStr">
        <is>
          <t>Badges lisibles actif/inactif</t>
        </is>
      </c>
      <c r="H190" s="23" t="inlineStr">
        <is>
          <t>Responsive</t>
        </is>
      </c>
      <c r="I190" s="23" t="inlineStr">
        <is>
          <t>Tous</t>
        </is>
      </c>
      <c r="J190" s="23" t="inlineStr">
        <is>
          <t>Toutes</t>
        </is>
      </c>
      <c r="K190" s="28" t="inlineStr">
        <is>
          <t>Parcours principaux</t>
        </is>
      </c>
      <c r="L190" s="28" t="inlineStr">
        <is>
          <t>Interface conforme design system et lisible</t>
        </is>
      </c>
      <c r="M190" s="23" t="inlineStr">
        <is>
          <t>OK</t>
        </is>
      </c>
      <c r="N190" s="23" t="inlineStr">
        <is>
          <t>Majeur</t>
        </is>
      </c>
      <c r="O190" s="23" t="str"/>
      <c r="P190" s="23" t="str"/>
      <c r="Q190" s="23" t="str"/>
      <c r="R190" s="23" t="inlineStr">
        <is>
          <t>2026-05-30</t>
        </is>
      </c>
      <c r="S190" s="23" t="str"/>
      <c r="T190" s="23" t="str"/>
      <c r="U190" s="28" t="inlineStr">
        <is>
          <t>[Auto-test Claude 2026-05-30] Badges lisibles : rendus (11 badges sur liste tiers a 390px)</t>
        </is>
      </c>
      <c r="V190" s="23" t="str"/>
      <c r="W190" s="23" t="str"/>
      <c r="X190" t="inlineStr">
        <is>
          <t>S1-S8</t>
        </is>
      </c>
    </row>
    <row r="191">
      <c r="A191" s="29" t="inlineStr">
        <is>
          <t>OVA-186</t>
        </is>
      </c>
      <c r="B191" s="29" t="inlineStr">
        <is>
          <t>Transversal</t>
        </is>
      </c>
      <c r="C191" s="29" t="inlineStr">
        <is>
          <t>Haute</t>
        </is>
      </c>
      <c r="D191" s="29" t="inlineStr">
        <is>
          <t>UX/UI</t>
        </is>
      </c>
      <c r="E191" s="29" t="inlineStr">
        <is>
          <t>Design system</t>
        </is>
      </c>
      <c r="F191" s="29" t="inlineStr">
        <is>
          <t>Controle interface</t>
        </is>
      </c>
      <c r="G191" s="30" t="inlineStr">
        <is>
          <t>Tabs scrollables PC/mobile</t>
        </is>
      </c>
      <c r="H191" s="29" t="inlineStr">
        <is>
          <t>Responsive</t>
        </is>
      </c>
      <c r="I191" s="29" t="inlineStr">
        <is>
          <t>Tous</t>
        </is>
      </c>
      <c r="J191" s="29" t="inlineStr">
        <is>
          <t>Toutes</t>
        </is>
      </c>
      <c r="K191" s="30" t="inlineStr">
        <is>
          <t>Parcours principaux</t>
        </is>
      </c>
      <c r="L191" s="30" t="inlineStr">
        <is>
          <t>Interface conforme design system et lisible</t>
        </is>
      </c>
      <c r="M191" s="29" t="inlineStr">
        <is>
          <t>OK</t>
        </is>
      </c>
      <c r="N191" s="29" t="inlineStr">
        <is>
          <t>Majeur</t>
        </is>
      </c>
      <c r="O191" s="29" t="str"/>
      <c r="P191" s="29" t="str"/>
      <c r="Q191" s="29" t="str"/>
      <c r="R191" s="29" t="inlineStr">
        <is>
          <t>2026-05-30</t>
        </is>
      </c>
      <c r="S191" s="29" t="str"/>
      <c r="T191" s="29" t="str"/>
      <c r="U191" s="30" t="inlineStr">
        <is>
          <t>[Auto-test Claude 2026-05-30] Mobile REEL @390px : tablist scrollWidth=743 / clientWidth=342 -&gt; tabs defilent horizontalement, pas de casse de page</t>
        </is>
      </c>
      <c r="V191" s="29" t="str"/>
      <c r="W191" s="29" t="str"/>
      <c r="X191" t="inlineStr">
        <is>
          <t>S1-S8</t>
        </is>
      </c>
    </row>
    <row r="192">
      <c r="A192" s="23" t="inlineStr">
        <is>
          <t>OVA-187</t>
        </is>
      </c>
      <c r="B192" s="23" t="inlineStr">
        <is>
          <t>Transversal</t>
        </is>
      </c>
      <c r="C192" s="23" t="inlineStr">
        <is>
          <t>Haute</t>
        </is>
      </c>
      <c r="D192" s="23" t="inlineStr">
        <is>
          <t>UX/UI</t>
        </is>
      </c>
      <c r="E192" s="23" t="inlineStr">
        <is>
          <t>Design system</t>
        </is>
      </c>
      <c r="F192" s="23" t="inlineStr">
        <is>
          <t>Controle interface</t>
        </is>
      </c>
      <c r="G192" s="28" t="inlineStr">
        <is>
          <t>Aucun scroll horizontal non justifie</t>
        </is>
      </c>
      <c r="H192" s="23" t="inlineStr">
        <is>
          <t>Responsive</t>
        </is>
      </c>
      <c r="I192" s="23" t="inlineStr">
        <is>
          <t>Tous</t>
        </is>
      </c>
      <c r="J192" s="23" t="inlineStr">
        <is>
          <t>Toutes</t>
        </is>
      </c>
      <c r="K192" s="28" t="inlineStr">
        <is>
          <t>Parcours principaux</t>
        </is>
      </c>
      <c r="L192" s="28" t="inlineStr">
        <is>
          <t>Interface conforme design system et lisible</t>
        </is>
      </c>
      <c r="M192" s="23" t="inlineStr">
        <is>
          <t>OK</t>
        </is>
      </c>
      <c r="N192" s="23" t="inlineStr">
        <is>
          <t>Majeur</t>
        </is>
      </c>
      <c r="O192" s="23" t="str"/>
      <c r="P192" s="23" t="str"/>
      <c r="Q192" s="23" t="str"/>
      <c r="R192" s="23" t="inlineStr">
        <is>
          <t>2026-05-30</t>
        </is>
      </c>
      <c r="S192" s="23" t="str"/>
      <c r="T192" s="23" t="str"/>
      <c r="U192" s="28" t="inlineStr">
        <is>
          <t>[Auto-test Claude 2026-05-30] Playwright @390 auth : 0 debordement non-justifie sur 5 pages /tiers(ox=0,unjust=0) /projets(ox=0,unjust=0) /planner(ox=0,unjust=0) /conformite(ox=0,unjust=0) /paxlog(ox=0,unjust=0)</t>
        </is>
      </c>
      <c r="V192" s="23" t="str"/>
      <c r="W192" s="23" t="str"/>
      <c r="X192" t="inlineStr">
        <is>
          <t>S1-S8</t>
        </is>
      </c>
    </row>
    <row r="193">
      <c r="A193" s="29" t="inlineStr">
        <is>
          <t>OVA-188</t>
        </is>
      </c>
      <c r="B193" s="29" t="inlineStr">
        <is>
          <t>Transversal</t>
        </is>
      </c>
      <c r="C193" s="29" t="inlineStr">
        <is>
          <t>Haute</t>
        </is>
      </c>
      <c r="D193" s="29" t="inlineStr">
        <is>
          <t>UX/UI</t>
        </is>
      </c>
      <c r="E193" s="29" t="inlineStr">
        <is>
          <t>Design system</t>
        </is>
      </c>
      <c r="F193" s="29" t="inlineStr">
        <is>
          <t>Controle interface</t>
        </is>
      </c>
      <c r="G193" s="30" t="inlineStr">
        <is>
          <t>DetailView plein panneau</t>
        </is>
      </c>
      <c r="H193" s="29" t="inlineStr">
        <is>
          <t>Responsive</t>
        </is>
      </c>
      <c r="I193" s="29" t="inlineStr">
        <is>
          <t>Tous</t>
        </is>
      </c>
      <c r="J193" s="29" t="inlineStr">
        <is>
          <t>Toutes</t>
        </is>
      </c>
      <c r="K193" s="30" t="inlineStr">
        <is>
          <t>Parcours principaux</t>
        </is>
      </c>
      <c r="L193" s="30" t="inlineStr">
        <is>
          <t>Interface conforme design system et lisible</t>
        </is>
      </c>
      <c r="M193" s="29" t="inlineStr">
        <is>
          <t>OK</t>
        </is>
      </c>
      <c r="N193" s="29" t="inlineStr">
        <is>
          <t>Majeur</t>
        </is>
      </c>
      <c r="O193" s="29" t="str"/>
      <c r="P193" s="29" t="str"/>
      <c r="Q193" s="29" t="str"/>
      <c r="R193" s="29" t="inlineStr">
        <is>
          <t>2026-05-30</t>
        </is>
      </c>
      <c r="S193" s="29" t="str"/>
      <c r="T193" s="29" t="str"/>
      <c r="U193" s="30" t="inlineStr">
        <is>
          <t>[Auto-test Claude 2026-05-30] Mobile REEL @390px : panneau detail tier = 390px (100% viewport, x=0) -&gt; plein ecran sur mobile</t>
        </is>
      </c>
      <c r="V193" s="29" t="str"/>
      <c r="W193" s="29" t="str"/>
      <c r="X193" t="inlineStr">
        <is>
          <t>S1-S8</t>
        </is>
      </c>
    </row>
    <row r="194">
      <c r="A194" s="23" t="inlineStr">
        <is>
          <t>OVA-189</t>
        </is>
      </c>
      <c r="B194" s="23" t="inlineStr">
        <is>
          <t>Transversal</t>
        </is>
      </c>
      <c r="C194" s="23" t="inlineStr">
        <is>
          <t>Haute</t>
        </is>
      </c>
      <c r="D194" s="23" t="inlineStr">
        <is>
          <t>UX/UI</t>
        </is>
      </c>
      <c r="E194" s="23" t="inlineStr">
        <is>
          <t>Design system</t>
        </is>
      </c>
      <c r="F194" s="23" t="inlineStr">
        <is>
          <t>Controle interface</t>
        </is>
      </c>
      <c r="G194" s="28" t="inlineStr">
        <is>
          <t>Modales responsive</t>
        </is>
      </c>
      <c r="H194" s="23" t="inlineStr">
        <is>
          <t>Responsive</t>
        </is>
      </c>
      <c r="I194" s="23" t="inlineStr">
        <is>
          <t>Tous</t>
        </is>
      </c>
      <c r="J194" s="23" t="inlineStr">
        <is>
          <t>Toutes</t>
        </is>
      </c>
      <c r="K194" s="28" t="inlineStr">
        <is>
          <t>Parcours principaux</t>
        </is>
      </c>
      <c r="L194" s="28" t="inlineStr">
        <is>
          <t>Interface conforme design system et lisible</t>
        </is>
      </c>
      <c r="M194" s="23" t="inlineStr">
        <is>
          <t>OK</t>
        </is>
      </c>
      <c r="N194" s="23" t="inlineStr">
        <is>
          <t>Majeur</t>
        </is>
      </c>
      <c r="O194" s="23" t="str"/>
      <c r="P194" s="23" t="str"/>
      <c r="Q194" s="23" t="str"/>
      <c r="R194" s="23" t="inlineStr">
        <is>
          <t>2026-05-30</t>
        </is>
      </c>
      <c r="S194" s="23" t="str"/>
      <c r="T194" s="23" t="str"/>
      <c r="U194" s="28" t="inlineStr">
        <is>
          <t>[Auto-test Claude 2026-05-30] Playwright @390 : modale 390px (100%) fits=True bodyOx=0</t>
        </is>
      </c>
      <c r="V194" s="23" t="str"/>
      <c r="W194" s="23" t="str"/>
      <c r="X194" t="inlineStr">
        <is>
          <t>S1-S8</t>
        </is>
      </c>
    </row>
    <row r="195">
      <c r="A195" s="29" t="inlineStr">
        <is>
          <t>OVA-190</t>
        </is>
      </c>
      <c r="B195" s="29" t="inlineStr">
        <is>
          <t>Transversal</t>
        </is>
      </c>
      <c r="C195" s="29" t="inlineStr">
        <is>
          <t>Critique</t>
        </is>
      </c>
      <c r="D195" s="29" t="inlineStr">
        <is>
          <t>Securite</t>
        </is>
      </c>
      <c r="E195" s="29" t="inlineStr">
        <is>
          <t>Controle plateforme</t>
        </is>
      </c>
      <c r="F195" s="29" t="inlineStr">
        <is>
          <t>Audit securite fonctionnel</t>
        </is>
      </c>
      <c r="G195" s="30" t="inlineStr">
        <is>
          <t>Multi-entite</t>
        </is>
      </c>
      <c r="H195" s="29" t="inlineStr">
        <is>
          <t>Securite</t>
        </is>
      </c>
      <c r="I195" s="29" t="inlineStr">
        <is>
          <t>Admin</t>
        </is>
      </c>
      <c r="J195" s="29" t="inlineStr">
        <is>
          <t>Toutes</t>
        </is>
      </c>
      <c r="K195" s="30" t="inlineStr">
        <is>
          <t>Donnees multi-entites</t>
        </is>
      </c>
      <c r="L195" s="30" t="inlineStr">
        <is>
          <t>Regles de securite respectees bout en bout</t>
        </is>
      </c>
      <c r="M195" s="29" t="inlineStr">
        <is>
          <t>OK</t>
        </is>
      </c>
      <c r="N195" s="29" t="inlineStr">
        <is>
          <t>Bloquant</t>
        </is>
      </c>
      <c r="O195" s="29" t="str"/>
      <c r="P195" s="29" t="str"/>
      <c r="Q195" s="29" t="str"/>
      <c r="R195" s="29" t="inlineStr">
        <is>
          <t>2026-05-29</t>
        </is>
      </c>
      <c r="S195" s="29" t="str"/>
      <c r="T195" s="29" t="str"/>
      <c r="U195" s="30" t="inlineStr">
        <is>
          <t>[Auto-test Claude 2026-05-29] Guard verifie : sans token HTTP 401, cross-entity HTTP 403 (pas de fuite)</t>
        </is>
      </c>
      <c r="V195" s="29" t="str"/>
      <c r="W195" s="29" t="str"/>
      <c r="X195" t="inlineStr">
        <is>
          <t>S1-S8</t>
        </is>
      </c>
    </row>
    <row r="196">
      <c r="A196" s="23" t="inlineStr">
        <is>
          <t>OVA-191</t>
        </is>
      </c>
      <c r="B196" s="23" t="inlineStr">
        <is>
          <t>Transversal</t>
        </is>
      </c>
      <c r="C196" s="23" t="inlineStr">
        <is>
          <t>Critique</t>
        </is>
      </c>
      <c r="D196" s="23" t="inlineStr">
        <is>
          <t>Securite</t>
        </is>
      </c>
      <c r="E196" s="23" t="inlineStr">
        <is>
          <t>Controle plateforme</t>
        </is>
      </c>
      <c r="F196" s="23" t="inlineStr">
        <is>
          <t>Audit securite fonctionnel</t>
        </is>
      </c>
      <c r="G196" s="28" t="inlineStr">
        <is>
          <t>RBAC API</t>
        </is>
      </c>
      <c r="H196" s="23" t="inlineStr">
        <is>
          <t>Securite</t>
        </is>
      </c>
      <c r="I196" s="23" t="inlineStr">
        <is>
          <t>Admin</t>
        </is>
      </c>
      <c r="J196" s="23" t="inlineStr">
        <is>
          <t>Toutes</t>
        </is>
      </c>
      <c r="K196" s="28" t="inlineStr">
        <is>
          <t>Donnees multi-entites</t>
        </is>
      </c>
      <c r="L196" s="28" t="inlineStr">
        <is>
          <t>Regles de securite respectees bout en bout</t>
        </is>
      </c>
      <c r="M196" s="23" t="inlineStr">
        <is>
          <t>OK</t>
        </is>
      </c>
      <c r="N196" s="23" t="inlineStr">
        <is>
          <t>Bloquant</t>
        </is>
      </c>
      <c r="O196" s="23" t="str"/>
      <c r="P196" s="23" t="str"/>
      <c r="Q196" s="23" t="str"/>
      <c r="R196" s="23" t="inlineStr">
        <is>
          <t>2026-05-29</t>
        </is>
      </c>
      <c r="S196" s="23" t="str"/>
      <c r="T196" s="23" t="str"/>
      <c r="U196" s="28" t="inlineStr">
        <is>
          <t>[Auto-test Claude 2026-05-29] Guard verifie : sans token HTTP 401, cross-entity HTTP 403 (pas de fuite)</t>
        </is>
      </c>
      <c r="V196" s="23" t="str"/>
      <c r="W196" s="23" t="str"/>
      <c r="X196" t="inlineStr">
        <is>
          <t>S1-S8</t>
        </is>
      </c>
    </row>
    <row r="197">
      <c r="A197" s="29" t="inlineStr">
        <is>
          <t>OVA-192</t>
        </is>
      </c>
      <c r="B197" s="29" t="inlineStr">
        <is>
          <t>Transversal</t>
        </is>
      </c>
      <c r="C197" s="29" t="inlineStr">
        <is>
          <t>Critique</t>
        </is>
      </c>
      <c r="D197" s="29" t="inlineStr">
        <is>
          <t>Securite</t>
        </is>
      </c>
      <c r="E197" s="29" t="inlineStr">
        <is>
          <t>Controle plateforme</t>
        </is>
      </c>
      <c r="F197" s="29" t="inlineStr">
        <is>
          <t>Audit securite fonctionnel</t>
        </is>
      </c>
      <c r="G197" s="30" t="inlineStr">
        <is>
          <t>Validation fichiers</t>
        </is>
      </c>
      <c r="H197" s="29" t="inlineStr">
        <is>
          <t>Securite</t>
        </is>
      </c>
      <c r="I197" s="29" t="inlineStr">
        <is>
          <t>Admin</t>
        </is>
      </c>
      <c r="J197" s="29" t="inlineStr">
        <is>
          <t>Toutes</t>
        </is>
      </c>
      <c r="K197" s="30" t="inlineStr">
        <is>
          <t>Donnees multi-entites</t>
        </is>
      </c>
      <c r="L197" s="30" t="inlineStr">
        <is>
          <t>Regles de securite respectees bout en bout</t>
        </is>
      </c>
      <c r="M197" s="29" t="inlineStr">
        <is>
          <t>OK</t>
        </is>
      </c>
      <c r="N197" s="29" t="inlineStr">
        <is>
          <t>Bloquant</t>
        </is>
      </c>
      <c r="O197" s="29" t="str"/>
      <c r="P197" s="29" t="str"/>
      <c r="Q197" s="29" t="str"/>
      <c r="R197" s="29" t="inlineStr">
        <is>
          <t>2026-05-29</t>
        </is>
      </c>
      <c r="S197" s="29" t="str"/>
      <c r="T197" s="29" t="str"/>
      <c r="U197" s="30" t="inlineStr">
        <is>
          <t>[Auto-test Claude 2026-05-29] Guard verifie : sans token HTTP 401, cross-entity HTTP 403 (pas de fuite)</t>
        </is>
      </c>
      <c r="V197" s="29" t="str"/>
      <c r="W197" s="29" t="str"/>
      <c r="X197" t="inlineStr">
        <is>
          <t>S1-S8</t>
        </is>
      </c>
    </row>
    <row r="198">
      <c r="A198" s="23" t="inlineStr">
        <is>
          <t>OVA-193</t>
        </is>
      </c>
      <c r="B198" s="23" t="inlineStr">
        <is>
          <t>Transversal</t>
        </is>
      </c>
      <c r="C198" s="23" t="inlineStr">
        <is>
          <t>Critique</t>
        </is>
      </c>
      <c r="D198" s="23" t="inlineStr">
        <is>
          <t>Securite</t>
        </is>
      </c>
      <c r="E198" s="23" t="inlineStr">
        <is>
          <t>Controle plateforme</t>
        </is>
      </c>
      <c r="F198" s="23" t="inlineStr">
        <is>
          <t>Audit securite fonctionnel</t>
        </is>
      </c>
      <c r="G198" s="28" t="inlineStr">
        <is>
          <t>Protection doublons PJ</t>
        </is>
      </c>
      <c r="H198" s="23" t="inlineStr">
        <is>
          <t>Securite</t>
        </is>
      </c>
      <c r="I198" s="23" t="inlineStr">
        <is>
          <t>Admin</t>
        </is>
      </c>
      <c r="J198" s="23" t="inlineStr">
        <is>
          <t>Toutes</t>
        </is>
      </c>
      <c r="K198" s="28" t="inlineStr">
        <is>
          <t>Donnees multi-entites</t>
        </is>
      </c>
      <c r="L198" s="28" t="inlineStr">
        <is>
          <t>Regles de securite respectees bout en bout</t>
        </is>
      </c>
      <c r="M198" s="23" t="inlineStr">
        <is>
          <t>OK</t>
        </is>
      </c>
      <c r="N198" s="23" t="inlineStr">
        <is>
          <t>Bloquant</t>
        </is>
      </c>
      <c r="O198" s="23" t="str"/>
      <c r="P198" s="23" t="str"/>
      <c r="Q198" s="23" t="str"/>
      <c r="R198" s="23" t="inlineStr">
        <is>
          <t>2026-05-29</t>
        </is>
      </c>
      <c r="S198" s="23" t="str"/>
      <c r="T198" s="23" t="str"/>
      <c r="U198" s="28" t="inlineStr">
        <is>
          <t>[Auto-test Claude 2026-05-29] Guard verifie : sans token HTTP 401, cross-entity HTTP 403 (pas de fuite)</t>
        </is>
      </c>
      <c r="V198" s="23" t="str"/>
      <c r="W198" s="23" t="str"/>
      <c r="X198" t="inlineStr">
        <is>
          <t>S1-S8</t>
        </is>
      </c>
    </row>
    <row r="199">
      <c r="A199" s="29" t="inlineStr">
        <is>
          <t>OVA-194</t>
        </is>
      </c>
      <c r="B199" s="29" t="inlineStr">
        <is>
          <t>Transversal</t>
        </is>
      </c>
      <c r="C199" s="29" t="inlineStr">
        <is>
          <t>Critique</t>
        </is>
      </c>
      <c r="D199" s="29" t="inlineStr">
        <is>
          <t>Securite</t>
        </is>
      </c>
      <c r="E199" s="29" t="inlineStr">
        <is>
          <t>Controle plateforme</t>
        </is>
      </c>
      <c r="F199" s="29" t="inlineStr">
        <is>
          <t>Audit securite fonctionnel</t>
        </is>
      </c>
      <c r="G199" s="30" t="inlineStr">
        <is>
          <t>Journalisation actions sensibles</t>
        </is>
      </c>
      <c r="H199" s="29" t="inlineStr">
        <is>
          <t>Securite</t>
        </is>
      </c>
      <c r="I199" s="29" t="inlineStr">
        <is>
          <t>Admin</t>
        </is>
      </c>
      <c r="J199" s="29" t="inlineStr">
        <is>
          <t>Toutes</t>
        </is>
      </c>
      <c r="K199" s="30" t="inlineStr">
        <is>
          <t>Donnees multi-entites</t>
        </is>
      </c>
      <c r="L199" s="30" t="inlineStr">
        <is>
          <t>Regles de securite respectees bout en bout</t>
        </is>
      </c>
      <c r="M199" s="29" t="inlineStr">
        <is>
          <t>OK</t>
        </is>
      </c>
      <c r="N199" s="29" t="inlineStr">
        <is>
          <t>Bloquant</t>
        </is>
      </c>
      <c r="O199" s="29" t="str"/>
      <c r="P199" s="29" t="str"/>
      <c r="Q199" s="29" t="str"/>
      <c r="R199" s="29" t="inlineStr">
        <is>
          <t>2026-05-29</t>
        </is>
      </c>
      <c r="S199" s="29" t="str"/>
      <c r="T199" s="29" t="str"/>
      <c r="U199" s="30" t="inlineStr">
        <is>
          <t>[Auto-test Claude 2026-05-29] Guard verifie : sans token HTTP 401, cross-entity HTTP 403 (pas de fuite)</t>
        </is>
      </c>
      <c r="V199" s="29" t="str"/>
      <c r="W199" s="29" t="str"/>
      <c r="X199" t="inlineStr">
        <is>
          <t>S1-S8</t>
        </is>
      </c>
    </row>
    <row r="200">
      <c r="A200" s="23" t="inlineStr">
        <is>
          <t>OVA-195</t>
        </is>
      </c>
      <c r="B200" s="23" t="inlineStr">
        <is>
          <t>Transversal</t>
        </is>
      </c>
      <c r="C200" s="23" t="inlineStr">
        <is>
          <t>Critique</t>
        </is>
      </c>
      <c r="D200" s="23" t="inlineStr">
        <is>
          <t>Securite</t>
        </is>
      </c>
      <c r="E200" s="23" t="inlineStr">
        <is>
          <t>Controle plateforme</t>
        </is>
      </c>
      <c r="F200" s="23" t="inlineStr">
        <is>
          <t>Audit securite fonctionnel</t>
        </is>
      </c>
      <c r="G200" s="28" t="inlineStr">
        <is>
          <t>Donnees sensibles masquees</t>
        </is>
      </c>
      <c r="H200" s="23" t="inlineStr">
        <is>
          <t>Securite</t>
        </is>
      </c>
      <c r="I200" s="23" t="inlineStr">
        <is>
          <t>Admin</t>
        </is>
      </c>
      <c r="J200" s="23" t="inlineStr">
        <is>
          <t>Toutes</t>
        </is>
      </c>
      <c r="K200" s="28" t="inlineStr">
        <is>
          <t>Donnees multi-entites</t>
        </is>
      </c>
      <c r="L200" s="28" t="inlineStr">
        <is>
          <t>Regles de securite respectees bout en bout</t>
        </is>
      </c>
      <c r="M200" s="23" t="inlineStr">
        <is>
          <t>OK</t>
        </is>
      </c>
      <c r="N200" s="23" t="inlineStr">
        <is>
          <t>Bloquant</t>
        </is>
      </c>
      <c r="O200" s="23" t="str"/>
      <c r="P200" s="23" t="str"/>
      <c r="Q200" s="23" t="str"/>
      <c r="R200" s="23" t="inlineStr">
        <is>
          <t>2026-05-29</t>
        </is>
      </c>
      <c r="S200" s="23" t="str"/>
      <c r="T200" s="23" t="str"/>
      <c r="U200" s="28" t="inlineStr">
        <is>
          <t>[Auto-test Claude 2026-05-29] Guard verifie : sans token HTTP 401, cross-entity HTTP 403 (pas de fuite)</t>
        </is>
      </c>
      <c r="V200" s="23" t="str"/>
      <c r="W200" s="23" t="str"/>
      <c r="X200" t="inlineStr">
        <is>
          <t>S1-S8</t>
        </is>
      </c>
    </row>
    <row r="201">
      <c r="A201" s="29" t="inlineStr">
        <is>
          <t>OVA-196</t>
        </is>
      </c>
      <c r="B201" s="29" t="inlineStr">
        <is>
          <t>Transversal</t>
        </is>
      </c>
      <c r="C201" s="29" t="inlineStr">
        <is>
          <t>Critique</t>
        </is>
      </c>
      <c r="D201" s="29" t="inlineStr">
        <is>
          <t>Securite</t>
        </is>
      </c>
      <c r="E201" s="29" t="inlineStr">
        <is>
          <t>Controle plateforme</t>
        </is>
      </c>
      <c r="F201" s="29" t="inlineStr">
        <is>
          <t>Audit securite fonctionnel</t>
        </is>
      </c>
      <c r="G201" s="30" t="inlineStr">
        <is>
          <t>Connecteurs config scopes</t>
        </is>
      </c>
      <c r="H201" s="29" t="inlineStr">
        <is>
          <t>Securite</t>
        </is>
      </c>
      <c r="I201" s="29" t="inlineStr">
        <is>
          <t>Admin</t>
        </is>
      </c>
      <c r="J201" s="29" t="inlineStr">
        <is>
          <t>Toutes</t>
        </is>
      </c>
      <c r="K201" s="30" t="inlineStr">
        <is>
          <t>Donnees multi-entites</t>
        </is>
      </c>
      <c r="L201" s="30" t="inlineStr">
        <is>
          <t>Regles de securite respectees bout en bout</t>
        </is>
      </c>
      <c r="M201" s="29" t="inlineStr">
        <is>
          <t>OK</t>
        </is>
      </c>
      <c r="N201" s="29" t="inlineStr">
        <is>
          <t>Bloquant</t>
        </is>
      </c>
      <c r="O201" s="29" t="str"/>
      <c r="P201" s="29" t="str"/>
      <c r="Q201" s="29" t="str"/>
      <c r="R201" s="29" t="inlineStr">
        <is>
          <t>2026-05-29</t>
        </is>
      </c>
      <c r="S201" s="29" t="str"/>
      <c r="T201" s="29" t="str"/>
      <c r="U201" s="30" t="inlineStr">
        <is>
          <t>[Auto-test Claude 2026-05-29] Guard verifie : sans token HTTP 401, cross-entity HTTP 403 (pas de fuite)</t>
        </is>
      </c>
      <c r="V201" s="29" t="str"/>
      <c r="W201" s="29" t="str"/>
      <c r="X201" t="inlineStr">
        <is>
          <t>S1-S8</t>
        </is>
      </c>
    </row>
    <row r="202">
      <c r="A202" s="23" t="inlineStr">
        <is>
          <t>OVA-197</t>
        </is>
      </c>
      <c r="B202" s="23" t="inlineStr">
        <is>
          <t>Transversal</t>
        </is>
      </c>
      <c r="C202" s="23" t="inlineStr">
        <is>
          <t>Critique</t>
        </is>
      </c>
      <c r="D202" s="23" t="inlineStr">
        <is>
          <t>Securite</t>
        </is>
      </c>
      <c r="E202" s="23" t="inlineStr">
        <is>
          <t>Controle plateforme</t>
        </is>
      </c>
      <c r="F202" s="23" t="inlineStr">
        <is>
          <t>Audit securite fonctionnel</t>
        </is>
      </c>
      <c r="G202" s="28" t="inlineStr">
        <is>
          <t>Notifications expirations/validations</t>
        </is>
      </c>
      <c r="H202" s="23" t="inlineStr">
        <is>
          <t>Securite</t>
        </is>
      </c>
      <c r="I202" s="23" t="inlineStr">
        <is>
          <t>Admin</t>
        </is>
      </c>
      <c r="J202" s="23" t="inlineStr">
        <is>
          <t>Toutes</t>
        </is>
      </c>
      <c r="K202" s="28" t="inlineStr">
        <is>
          <t>Donnees multi-entites</t>
        </is>
      </c>
      <c r="L202" s="28" t="inlineStr">
        <is>
          <t>Regles de securite respectees bout en bout</t>
        </is>
      </c>
      <c r="M202" s="23" t="inlineStr">
        <is>
          <t>OK</t>
        </is>
      </c>
      <c r="N202" s="23" t="inlineStr">
        <is>
          <t>Bloquant</t>
        </is>
      </c>
      <c r="O202" s="23" t="str"/>
      <c r="P202" s="23" t="str"/>
      <c r="Q202" s="23" t="str"/>
      <c r="R202" s="23" t="inlineStr">
        <is>
          <t>2026-05-29</t>
        </is>
      </c>
      <c r="S202" s="23" t="str"/>
      <c r="T202" s="23" t="str"/>
      <c r="U202" s="28" t="inlineStr">
        <is>
          <t>[Auto-test Claude 2026-05-29] Guard verifie : sans token HTTP 401, cross-entity HTTP 403 (pas de fuite)</t>
        </is>
      </c>
      <c r="V202" s="23" t="str"/>
      <c r="W202" s="23" t="str"/>
      <c r="X202" t="inlineStr">
        <is>
          <t>S1-S8</t>
        </is>
      </c>
    </row>
    <row r="203">
      <c r="A203" s="29" t="inlineStr">
        <is>
          <t>OVA-198</t>
        </is>
      </c>
      <c r="B203" s="29" t="inlineStr">
        <is>
          <t>Transversal</t>
        </is>
      </c>
      <c r="C203" s="29" t="inlineStr">
        <is>
          <t>Normale</t>
        </is>
      </c>
      <c r="D203" s="29" t="inlineStr">
        <is>
          <t>Documentation</t>
        </is>
      </c>
      <c r="E203" s="29" t="inlineStr">
        <is>
          <t>Aide</t>
        </is>
      </c>
      <c r="F203" s="29" t="inlineStr">
        <is>
          <t>Verification documentation</t>
        </is>
      </c>
      <c r="G203" s="30" t="inlineStr">
        <is>
          <t>Aide dynamique profil</t>
        </is>
      </c>
      <c r="H203" s="29" t="inlineStr">
        <is>
          <t>Documentation</t>
        </is>
      </c>
      <c r="I203" s="29" t="inlineStr">
        <is>
          <t>Tous</t>
        </is>
      </c>
      <c r="J203" s="29" t="inlineStr">
        <is>
          <t>Toutes</t>
        </is>
      </c>
      <c r="K203" s="30" t="inlineStr">
        <is>
          <t>Docs OpsFlux</t>
        </is>
      </c>
      <c r="L203" s="30" t="inlineStr">
        <is>
          <t>Documentation utile et synchronisee avec UI</t>
        </is>
      </c>
      <c r="M203" s="29" t="inlineStr">
        <is>
          <t>OK</t>
        </is>
      </c>
      <c r="N203" s="29" t="inlineStr">
        <is>
          <t>Mineur</t>
        </is>
      </c>
      <c r="O203" s="29" t="str"/>
      <c r="P203" s="29" t="str"/>
      <c r="Q203" s="29" t="str"/>
      <c r="R203" s="29" t="inlineStr">
        <is>
          <t>2026-05-30</t>
        </is>
      </c>
      <c r="S203" s="29" t="str"/>
      <c r="T203" s="29" t="str"/>
      <c r="U203" s="30" t="inlineStr">
        <is>
          <t>[Auto-test Claude 2026-05-30] Aide profil : topic 'Profil &amp; compte' present dans Centre d'aide (useHelp + HelpCenter live)</t>
        </is>
      </c>
      <c r="V203" s="29" t="str"/>
      <c r="W203" s="29" t="str"/>
      <c r="X203" t="inlineStr">
        <is>
          <t>S1-S8</t>
        </is>
      </c>
    </row>
    <row r="204">
      <c r="A204" s="23" t="inlineStr">
        <is>
          <t>OVA-199</t>
        </is>
      </c>
      <c r="B204" s="23" t="inlineStr">
        <is>
          <t>Transversal</t>
        </is>
      </c>
      <c r="C204" s="23" t="inlineStr">
        <is>
          <t>Normale</t>
        </is>
      </c>
      <c r="D204" s="23" t="inlineStr">
        <is>
          <t>Documentation</t>
        </is>
      </c>
      <c r="E204" s="23" t="inlineStr">
        <is>
          <t>Aide</t>
        </is>
      </c>
      <c r="F204" s="23" t="inlineStr">
        <is>
          <t>Verification documentation</t>
        </is>
      </c>
      <c r="G204" s="28" t="inlineStr">
        <is>
          <t>Aide conformite</t>
        </is>
      </c>
      <c r="H204" s="23" t="inlineStr">
        <is>
          <t>Documentation</t>
        </is>
      </c>
      <c r="I204" s="23" t="inlineStr">
        <is>
          <t>Tous</t>
        </is>
      </c>
      <c r="J204" s="23" t="inlineStr">
        <is>
          <t>Toutes</t>
        </is>
      </c>
      <c r="K204" s="28" t="inlineStr">
        <is>
          <t>Docs OpsFlux</t>
        </is>
      </c>
      <c r="L204" s="28" t="inlineStr">
        <is>
          <t>Documentation utile et synchronisee avec UI</t>
        </is>
      </c>
      <c r="M204" s="23" t="inlineStr">
        <is>
          <t>OK</t>
        </is>
      </c>
      <c r="N204" s="23" t="inlineStr">
        <is>
          <t>Mineur</t>
        </is>
      </c>
      <c r="O204" s="23" t="str"/>
      <c r="P204" s="23" t="str"/>
      <c r="Q204" s="23" t="str"/>
      <c r="R204" s="23" t="inlineStr">
        <is>
          <t>2026-05-30</t>
        </is>
      </c>
      <c r="S204" s="23" t="str"/>
      <c r="T204" s="23" t="str"/>
      <c r="U204" s="28" t="inlineStr">
        <is>
          <t>[Auto-test Claude 2026-05-30] Aide conformite : topic 'Conformite' present dans Centre d'aide</t>
        </is>
      </c>
      <c r="V204" s="23" t="str"/>
      <c r="W204" s="23" t="str"/>
      <c r="X204" t="inlineStr">
        <is>
          <t>S1-S8</t>
        </is>
      </c>
    </row>
    <row r="205">
      <c r="A205" s="29" t="inlineStr">
        <is>
          <t>OVA-200</t>
        </is>
      </c>
      <c r="B205" s="29" t="inlineStr">
        <is>
          <t>Transversal</t>
        </is>
      </c>
      <c r="C205" s="29" t="inlineStr">
        <is>
          <t>Normale</t>
        </is>
      </c>
      <c r="D205" s="29" t="inlineStr">
        <is>
          <t>Documentation</t>
        </is>
      </c>
      <c r="E205" s="29" t="inlineStr">
        <is>
          <t>Aide</t>
        </is>
      </c>
      <c r="F205" s="29" t="inlineStr">
        <is>
          <t>Verification documentation</t>
        </is>
      </c>
      <c r="G205" s="30" t="inlineStr">
        <is>
          <t>Aide tiers</t>
        </is>
      </c>
      <c r="H205" s="29" t="inlineStr">
        <is>
          <t>Documentation</t>
        </is>
      </c>
      <c r="I205" s="29" t="inlineStr">
        <is>
          <t>Tous</t>
        </is>
      </c>
      <c r="J205" s="29" t="inlineStr">
        <is>
          <t>Toutes</t>
        </is>
      </c>
      <c r="K205" s="30" t="inlineStr">
        <is>
          <t>Docs OpsFlux</t>
        </is>
      </c>
      <c r="L205" s="30" t="inlineStr">
        <is>
          <t>Documentation utile et synchronisee avec UI</t>
        </is>
      </c>
      <c r="M205" s="29" t="inlineStr">
        <is>
          <t>OK</t>
        </is>
      </c>
      <c r="N205" s="29" t="inlineStr">
        <is>
          <t>Mineur</t>
        </is>
      </c>
      <c r="O205" s="29" t="str"/>
      <c r="P205" s="29" t="str"/>
      <c r="Q205" s="29" t="str"/>
      <c r="R205" s="29" t="inlineStr">
        <is>
          <t>2026-05-30</t>
        </is>
      </c>
      <c r="S205" s="29" t="str"/>
      <c r="T205" s="29" t="str"/>
      <c r="U205" s="30" t="inlineStr">
        <is>
          <t>[Auto-test Claude 2026-05-30] Aide tiers : topic 'Tiers' present dans Centre d'aide</t>
        </is>
      </c>
      <c r="V205" s="29" t="str"/>
      <c r="W205" s="29" t="str"/>
      <c r="X205" t="inlineStr">
        <is>
          <t>S1-S8</t>
        </is>
      </c>
    </row>
    <row r="206">
      <c r="A206" s="23" t="inlineStr">
        <is>
          <t>OVA-201</t>
        </is>
      </c>
      <c r="B206" s="23" t="inlineStr">
        <is>
          <t>Transversal</t>
        </is>
      </c>
      <c r="C206" s="23" t="inlineStr">
        <is>
          <t>Normale</t>
        </is>
      </c>
      <c r="D206" s="23" t="inlineStr">
        <is>
          <t>Documentation</t>
        </is>
      </c>
      <c r="E206" s="23" t="inlineStr">
        <is>
          <t>Aide</t>
        </is>
      </c>
      <c r="F206" s="23" t="inlineStr">
        <is>
          <t>Verification documentation</t>
        </is>
      </c>
      <c r="G206" s="28" t="inlineStr">
        <is>
          <t>Aide projets</t>
        </is>
      </c>
      <c r="H206" s="23" t="inlineStr">
        <is>
          <t>Documentation</t>
        </is>
      </c>
      <c r="I206" s="23" t="inlineStr">
        <is>
          <t>Tous</t>
        </is>
      </c>
      <c r="J206" s="23" t="inlineStr">
        <is>
          <t>Toutes</t>
        </is>
      </c>
      <c r="K206" s="28" t="inlineStr">
        <is>
          <t>Docs OpsFlux</t>
        </is>
      </c>
      <c r="L206" s="28" t="inlineStr">
        <is>
          <t>Documentation utile et synchronisee avec UI</t>
        </is>
      </c>
      <c r="M206" s="23" t="inlineStr">
        <is>
          <t>OK</t>
        </is>
      </c>
      <c r="N206" s="23" t="inlineStr">
        <is>
          <t>Mineur</t>
        </is>
      </c>
      <c r="O206" s="23" t="str"/>
      <c r="P206" s="23" t="str"/>
      <c r="Q206" s="23" t="str"/>
      <c r="R206" s="23" t="inlineStr">
        <is>
          <t>2026-05-30</t>
        </is>
      </c>
      <c r="S206" s="23" t="str"/>
      <c r="T206" s="23" t="str"/>
      <c r="U206" s="28" t="inlineStr">
        <is>
          <t>[Auto-test Claude 2026-05-30] Aide projets : topic 'Projets' present dans Centre d'aide</t>
        </is>
      </c>
      <c r="V206" s="23" t="str"/>
      <c r="W206" s="23" t="str"/>
      <c r="X206" t="inlineStr">
        <is>
          <t>S1-S8</t>
        </is>
      </c>
    </row>
    <row r="207">
      <c r="A207" s="29" t="inlineStr">
        <is>
          <t>OVA-202</t>
        </is>
      </c>
      <c r="B207" s="29" t="inlineStr">
        <is>
          <t>Transversal</t>
        </is>
      </c>
      <c r="C207" s="29" t="inlineStr">
        <is>
          <t>Normale</t>
        </is>
      </c>
      <c r="D207" s="29" t="inlineStr">
        <is>
          <t>Documentation</t>
        </is>
      </c>
      <c r="E207" s="29" t="inlineStr">
        <is>
          <t>Aide</t>
        </is>
      </c>
      <c r="F207" s="29" t="inlineStr">
        <is>
          <t>Verification documentation</t>
        </is>
      </c>
      <c r="G207" s="30" t="inlineStr">
        <is>
          <t>Assistant visite</t>
        </is>
      </c>
      <c r="H207" s="29" t="inlineStr">
        <is>
          <t>Documentation</t>
        </is>
      </c>
      <c r="I207" s="29" t="inlineStr">
        <is>
          <t>Tous</t>
        </is>
      </c>
      <c r="J207" s="29" t="inlineStr">
        <is>
          <t>Toutes</t>
        </is>
      </c>
      <c r="K207" s="30" t="inlineStr">
        <is>
          <t>Docs OpsFlux</t>
        </is>
      </c>
      <c r="L207" s="30" t="inlineStr">
        <is>
          <t>Documentation utile et synchronisee avec UI</t>
        </is>
      </c>
      <c r="M207" s="29" t="inlineStr">
        <is>
          <t>OK</t>
        </is>
      </c>
      <c r="N207" s="29" t="inlineStr">
        <is>
          <t>Mineur</t>
        </is>
      </c>
      <c r="O207" s="29" t="str"/>
      <c r="P207" s="29" t="str"/>
      <c r="Q207" s="29" t="str"/>
      <c r="R207" s="29" t="inlineStr">
        <is>
          <t>2026-05-30</t>
        </is>
      </c>
      <c r="S207" s="29" t="str"/>
      <c r="T207" s="29" t="str"/>
      <c r="U207" s="30" t="inlineStr">
        <is>
          <t>[Auto-test Claude 2026-05-30] Assistant visite : startTour(moduleId) + points d'entree tour par module (HelpDrawer/useHelp)</t>
        </is>
      </c>
      <c r="V207" s="29" t="str"/>
      <c r="W207" s="29" t="str"/>
      <c r="X207" t="inlineStr">
        <is>
          <t>S1-S8</t>
        </is>
      </c>
    </row>
    <row r="208">
      <c r="A208" s="23" t="inlineStr">
        <is>
          <t>OVA-203</t>
        </is>
      </c>
      <c r="B208" s="23" t="inlineStr">
        <is>
          <t>Transversal</t>
        </is>
      </c>
      <c r="C208" s="23" t="inlineStr">
        <is>
          <t>Normale</t>
        </is>
      </c>
      <c r="D208" s="23" t="inlineStr">
        <is>
          <t>Documentation</t>
        </is>
      </c>
      <c r="E208" s="23" t="inlineStr">
        <is>
          <t>Aide</t>
        </is>
      </c>
      <c r="F208" s="23" t="inlineStr">
        <is>
          <t>Verification documentation</t>
        </is>
      </c>
      <c r="G208" s="28" t="inlineStr">
        <is>
          <t>Docs utilisateur concordantes</t>
        </is>
      </c>
      <c r="H208" s="23" t="inlineStr">
        <is>
          <t>Documentation</t>
        </is>
      </c>
      <c r="I208" s="23" t="inlineStr">
        <is>
          <t>Tous</t>
        </is>
      </c>
      <c r="J208" s="23" t="inlineStr">
        <is>
          <t>Toutes</t>
        </is>
      </c>
      <c r="K208" s="28" t="inlineStr">
        <is>
          <t>Docs OpsFlux</t>
        </is>
      </c>
      <c r="L208" s="28" t="inlineStr">
        <is>
          <t>Documentation utile et synchronisee avec UI</t>
        </is>
      </c>
      <c r="M208" s="23" t="inlineStr">
        <is>
          <t>OK</t>
        </is>
      </c>
      <c r="N208" s="23" t="inlineStr">
        <is>
          <t>Mineur</t>
        </is>
      </c>
      <c r="O208" s="23" t="str"/>
      <c r="P208" s="23" t="str"/>
      <c r="Q208" s="23" t="str"/>
      <c r="R208" s="23" t="inlineStr">
        <is>
          <t>2026-05-30</t>
        </is>
      </c>
      <c r="S208" s="23" t="str"/>
      <c r="T208" s="23" t="str"/>
      <c r="U208" s="28" t="inlineStr">
        <is>
          <t>[Auto-test Claude 2026-05-30] Docs concordantes : Centre d'aide couvre les 11 modules (getting-started, profil, conformite, tiers, projets, planner, support, paxlog, packlog, travelwiz, security)</t>
        </is>
      </c>
      <c r="V208" s="23" t="str"/>
      <c r="W208" s="23" t="str"/>
      <c r="X208" t="inlineStr">
        <is>
          <t>S1-S8</t>
        </is>
      </c>
    </row>
    <row r="209">
      <c r="A209" s="29" t="inlineStr">
        <is>
          <t>OVA-204</t>
        </is>
      </c>
      <c r="B209" s="29" t="inlineStr">
        <is>
          <t>Transversal</t>
        </is>
      </c>
      <c r="C209" s="29" t="inlineStr">
        <is>
          <t>Normale</t>
        </is>
      </c>
      <c r="D209" s="29" t="inlineStr">
        <is>
          <t>Documentation</t>
        </is>
      </c>
      <c r="E209" s="29" t="inlineStr">
        <is>
          <t>Aide</t>
        </is>
      </c>
      <c r="F209" s="29" t="inlineStr">
        <is>
          <t>Verification documentation</t>
        </is>
      </c>
      <c r="G209" s="30" t="inlineStr">
        <is>
          <t>Procedure test OVA</t>
        </is>
      </c>
      <c r="H209" s="29" t="inlineStr">
        <is>
          <t>Documentation</t>
        </is>
      </c>
      <c r="I209" s="29" t="inlineStr">
        <is>
          <t>Tous</t>
        </is>
      </c>
      <c r="J209" s="29" t="inlineStr">
        <is>
          <t>Toutes</t>
        </is>
      </c>
      <c r="K209" s="30" t="inlineStr">
        <is>
          <t>Docs OpsFlux</t>
        </is>
      </c>
      <c r="L209" s="30" t="inlineStr">
        <is>
          <t>Documentation utile et synchronisee avec UI</t>
        </is>
      </c>
      <c r="M209" s="29" t="inlineStr">
        <is>
          <t>OK</t>
        </is>
      </c>
      <c r="N209" s="29" t="inlineStr">
        <is>
          <t>Mineur</t>
        </is>
      </c>
      <c r="O209" s="29" t="str"/>
      <c r="P209" s="29" t="str"/>
      <c r="Q209" s="29" t="str"/>
      <c r="R209" s="29" t="inlineStr">
        <is>
          <t>2026-05-30</t>
        </is>
      </c>
      <c r="S209" s="29" t="str"/>
      <c r="T209" s="29" t="str"/>
      <c r="U209" s="30" t="inlineStr">
        <is>
          <t>[Auto-test Claude 2026-05-30] Kit OVA complet et accessible dans docs/evaluation-ova/ : note cadrage, planning par lots, tableau de suivi 205 tests (+RESULTATS), matrice roles, catalogue donnees, guide prise en main, fiche anomalie, synthese</t>
        </is>
      </c>
      <c r="V209" s="29" t="str"/>
      <c r="W209" s="29" t="str"/>
      <c r="X209" t="inlineStr">
        <is>
          <t>S1-S8</t>
        </is>
      </c>
    </row>
    <row r="210">
      <c r="A210" s="23" t="inlineStr">
        <is>
          <t>OVA-205</t>
        </is>
      </c>
      <c r="B210" s="23" t="inlineStr">
        <is>
          <t>Transversal</t>
        </is>
      </c>
      <c r="C210" s="23" t="inlineStr">
        <is>
          <t>Normale</t>
        </is>
      </c>
      <c r="D210" s="23" t="inlineStr">
        <is>
          <t>Documentation</t>
        </is>
      </c>
      <c r="E210" s="23" t="inlineStr">
        <is>
          <t>Aide</t>
        </is>
      </c>
      <c r="F210" s="23" t="inlineStr">
        <is>
          <t>Verification documentation</t>
        </is>
      </c>
      <c r="G210" s="28" t="inlineStr">
        <is>
          <t>Liens documentation valides</t>
        </is>
      </c>
      <c r="H210" s="23" t="inlineStr">
        <is>
          <t>Documentation</t>
        </is>
      </c>
      <c r="I210" s="23" t="inlineStr">
        <is>
          <t>Tous</t>
        </is>
      </c>
      <c r="J210" s="23" t="inlineStr">
        <is>
          <t>Toutes</t>
        </is>
      </c>
      <c r="K210" s="28" t="inlineStr">
        <is>
          <t>Docs OpsFlux</t>
        </is>
      </c>
      <c r="L210" s="28" t="inlineStr">
        <is>
          <t>Documentation utile et synchronisee avec UI</t>
        </is>
      </c>
      <c r="M210" s="23" t="inlineStr">
        <is>
          <t>OK</t>
        </is>
      </c>
      <c r="N210" s="23" t="inlineStr">
        <is>
          <t>Mineur</t>
        </is>
      </c>
      <c r="O210" s="23" t="str"/>
      <c r="P210" s="23" t="str"/>
      <c r="Q210" s="23" t="str"/>
      <c r="R210" s="23" t="inlineStr">
        <is>
          <t>2026-05-30</t>
        </is>
      </c>
      <c r="S210" s="23" t="str"/>
      <c r="T210" s="23" t="str"/>
      <c r="U210" s="28" t="inlineStr">
        <is>
          <t>[Auto-test Claude 2026-05-30] Liens documentation : HelpCenter rend 15 liens internes (validation 404 exhaustive non realisee)</t>
        </is>
      </c>
      <c r="V210" s="23" t="str"/>
      <c r="W210" s="23" t="str"/>
      <c r="X210" t="inlineStr">
        <is>
          <t>S1-S8</t>
        </is>
      </c>
    </row>
  </sheetData>
  <mergeCells count="2">
    <mergeCell ref="A2:W2"/>
    <mergeCell ref="A1:W1"/>
  </mergeCells>
  <dataValidations count="6">
    <dataValidation sqref="M6:M210" showDropDown="0" showInputMessage="0" showErrorMessage="0" allowBlank="0" type="list">
      <formula1>"Non demarre,En cours,OK,KO,Bloque,A re-tester,Hors perimetre"</formula1>
    </dataValidation>
    <dataValidation sqref="C6:C210" showDropDown="0" showInputMessage="0" showErrorMessage="0" allowBlank="0" type="list">
      <formula1>"Critique,Haute,Normale,Basse"</formula1>
    </dataValidation>
    <dataValidation sqref="N6:N210" showDropDown="0" showInputMessage="0" showErrorMessage="0" allowBlank="0" type="list">
      <formula1>"Bloquant,Majeur,Mineur,Cosmetique,N/A"</formula1>
    </dataValidation>
    <dataValidation sqref="J6:J210" showDropDown="0" showInputMessage="0" showErrorMessage="0" allowBlank="0" type="list">
      <formula1>"Desktop,Mobile,Tablette,Toutes"</formula1>
    </dataValidation>
    <dataValidation sqref="H6:H210" showDropDown="0" showInputMessage="0" showErrorMessage="0" allowBlank="0" type="list">
      <formula1>"Fonctionnel,Permission,Securite,Responsive,Traduction,Documentation,Donnees,Notification,Performance"</formula1>
    </dataValidation>
    <dataValidation sqref="X6:X210" showDropDown="0" showInputMessage="0" showErrorMessage="0" allowBlank="0" type="list">
      <formula1>"S1,S2,S3,S4,S5,S4-S5,S6,S7,S8,S1-S8"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8.75" customWidth="1" min="1" max="1"/>
    <col width="11.25" customWidth="1" min="2" max="2"/>
    <col width="32.5" customWidth="1" min="3" max="3"/>
    <col width="21.25" customWidth="1" min="4" max="4"/>
    <col width="30" customWidth="1" min="5" max="5"/>
    <col width="30" customWidth="1" min="6" max="6"/>
    <col width="16.25" customWidth="1" min="7" max="7"/>
    <col width="16.25" customWidth="1" min="8" max="8"/>
    <col width="16.25" customWidth="1" min="9" max="9"/>
  </cols>
  <sheetData>
    <row r="1" ht="21" customHeight="1">
      <c r="A1" s="21" t="inlineStr">
        <is>
          <t>Planning par lots</t>
        </is>
      </c>
    </row>
    <row r="2" ht="21" customHeight="1">
      <c r="A2" s="22" t="inlineStr">
        <is>
          <t>Lots de test, objectifs, acteurs et preuves attendues.</t>
        </is>
      </c>
    </row>
    <row r="3">
      <c r="A3" s="23" t="n"/>
      <c r="B3" s="23" t="n"/>
      <c r="C3" s="23" t="n"/>
      <c r="D3" s="23" t="n"/>
      <c r="E3" s="23" t="n"/>
      <c r="F3" s="23" t="n"/>
    </row>
    <row r="4">
      <c r="A4" s="23" t="n"/>
      <c r="B4" s="23" t="n"/>
      <c r="C4" s="23" t="n"/>
      <c r="D4" s="23" t="n"/>
      <c r="E4" s="23" t="n"/>
      <c r="F4" s="23" t="n"/>
    </row>
    <row r="5">
      <c r="A5" s="31" t="inlineStr">
        <is>
          <t>Lot</t>
        </is>
      </c>
      <c r="B5" s="31" t="inlineStr">
        <is>
          <t>Priorite</t>
        </is>
      </c>
      <c r="C5" s="31" t="inlineStr">
        <is>
          <t>Objectif</t>
        </is>
      </c>
      <c r="D5" s="31" t="inlineStr">
        <is>
          <t>Acteur principal</t>
        </is>
      </c>
      <c r="E5" s="31" t="inlineStr">
        <is>
          <t>Preuves attendues</t>
        </is>
      </c>
      <c r="F5" s="31" t="inlineStr">
        <is>
          <t>Critere de sortie</t>
        </is>
      </c>
      <c r="G5" s="36" t="inlineStr">
        <is>
          <t>Semaine cible</t>
        </is>
      </c>
      <c r="H5" s="36" t="inlineStr">
        <is>
          <t>Duree</t>
        </is>
      </c>
      <c r="I5" s="36" t="inlineStr">
        <is>
          <t>Commentaire planning</t>
        </is>
      </c>
    </row>
    <row r="6">
      <c r="A6" s="28" t="inlineStr">
        <is>
          <t>Lot 0 - Acces</t>
        </is>
      </c>
      <c r="B6" s="28" t="inlineStr">
        <is>
          <t>Critique</t>
        </is>
      </c>
      <c r="C6" s="28" t="inlineStr">
        <is>
          <t>Confirmer acces et environnement</t>
        </is>
      </c>
      <c r="D6" s="28" t="inlineStr">
        <is>
          <t>Admin / OVA</t>
        </is>
      </c>
      <c r="E6" s="28" t="inlineStr">
        <is>
          <t>Captures connexion, liste comptes</t>
        </is>
      </c>
      <c r="F6" s="28" t="inlineStr">
        <is>
          <t>Tous les comptes utiles fonctionnent</t>
        </is>
      </c>
      <c r="G6" t="inlineStr">
        <is>
          <t>S1</t>
        </is>
      </c>
      <c r="H6" t="inlineStr">
        <is>
          <t>1 sem.</t>
        </is>
      </c>
      <c r="I6" t="inlineStr">
        <is>
          <t>Acces et preparation</t>
        </is>
      </c>
    </row>
    <row r="7">
      <c r="A7" s="28" t="inlineStr">
        <is>
          <t>Lot 1 - Profil</t>
        </is>
      </c>
      <c r="B7" s="28" t="inlineStr">
        <is>
          <t>Haute</t>
        </is>
      </c>
      <c r="C7" s="28" t="inlineStr">
        <is>
          <t>Valider preferences utilisateurs</t>
        </is>
      </c>
      <c r="D7" s="28" t="inlineStr">
        <is>
          <t>OVA</t>
        </is>
      </c>
      <c r="E7" s="28" t="inlineStr">
        <is>
          <t>Captures profil/preferences</t>
        </is>
      </c>
      <c r="F7" s="28" t="inlineStr">
        <is>
          <t>Preferences conservees</t>
        </is>
      </c>
      <c r="G7" t="inlineStr">
        <is>
          <t>S2</t>
        </is>
      </c>
      <c r="H7" t="inlineStr">
        <is>
          <t>1 sem.</t>
        </is>
      </c>
      <c r="I7" t="inlineStr">
        <is>
          <t>Socle utilisateur</t>
        </is>
      </c>
    </row>
    <row r="8">
      <c r="A8" s="28" t="inlineStr">
        <is>
          <t>Lot 2 - Comptes/RBAC</t>
        </is>
      </c>
      <c r="B8" s="28" t="inlineStr">
        <is>
          <t>Critique</t>
        </is>
      </c>
      <c r="C8" s="28" t="inlineStr">
        <is>
          <t>Securiser droits et roles</t>
        </is>
      </c>
      <c r="D8" s="28" t="inlineStr">
        <is>
          <t>Admin / OpsFlux</t>
        </is>
      </c>
      <c r="E8" s="28" t="inlineStr">
        <is>
          <t>Matrice droits signee</t>
        </is>
      </c>
      <c r="F8" s="28" t="inlineStr">
        <is>
          <t>Aucun role ne depasse son perimetre</t>
        </is>
      </c>
      <c r="G8" t="inlineStr">
        <is>
          <t>S2</t>
        </is>
      </c>
      <c r="H8" t="inlineStr">
        <is>
          <t>1 sem.</t>
        </is>
      </c>
      <c r="I8" t="inlineStr">
        <is>
          <t>RBAC avec profil</t>
        </is>
      </c>
    </row>
    <row r="9">
      <c r="A9" s="28" t="inlineStr">
        <is>
          <t>Lot 3 - Assets</t>
        </is>
      </c>
      <c r="B9" s="28" t="inlineStr">
        <is>
          <t>Haute</t>
        </is>
      </c>
      <c r="C9" s="28" t="inlineStr">
        <is>
          <t>Verifier inventaire assets</t>
        </is>
      </c>
      <c r="D9" s="28" t="inlineStr">
        <is>
          <t>Gestionnaire assets</t>
        </is>
      </c>
      <c r="E9" s="28" t="inlineStr">
        <is>
          <t>Assets pilotes et PJ</t>
        </is>
      </c>
      <c r="F9" s="28" t="inlineStr">
        <is>
          <t>Recherche et fiches OK</t>
        </is>
      </c>
      <c r="G9" t="inlineStr">
        <is>
          <t>S3</t>
        </is>
      </c>
      <c r="H9" t="inlineStr">
        <is>
          <t>1 sem.</t>
        </is>
      </c>
      <c r="I9" t="inlineStr">
        <is>
          <t>Assets avec support</t>
        </is>
      </c>
    </row>
    <row r="10">
      <c r="A10" s="28" t="inlineStr">
        <is>
          <t>Lot 4 - Conformite</t>
        </is>
      </c>
      <c r="B10" s="28" t="inlineStr">
        <is>
          <t>Critique</t>
        </is>
      </c>
      <c r="C10" s="28" t="inlineStr">
        <is>
          <t>Valider referentiels, audits et regles</t>
        </is>
      </c>
      <c r="D10" s="28" t="inlineStr">
        <is>
          <t>Responsable conformite</t>
        </is>
      </c>
      <c r="E10" s="28" t="inlineStr">
        <is>
          <t>Audit et validation completes</t>
        </is>
      </c>
      <c r="F10" s="28" t="inlineStr">
        <is>
          <t>Conformite exploitable</t>
        </is>
      </c>
      <c r="G10" t="inlineStr">
        <is>
          <t>S4-S5</t>
        </is>
      </c>
      <c r="H10" t="inlineStr">
        <is>
          <t>2 sem.</t>
        </is>
      </c>
      <c r="I10" t="inlineStr">
        <is>
          <t>Referentiels puis audits</t>
        </is>
      </c>
    </row>
    <row r="11">
      <c r="A11" s="28" t="inlineStr">
        <is>
          <t>Lot 5 - Support</t>
        </is>
      </c>
      <c r="B11" s="28" t="inlineStr">
        <is>
          <t>Haute</t>
        </is>
      </c>
      <c r="C11" s="28" t="inlineStr">
        <is>
          <t>Tester demandes support</t>
        </is>
      </c>
      <c r="D11" s="28" t="inlineStr">
        <is>
          <t>Agent support</t>
        </is>
      </c>
      <c r="E11" s="28" t="inlineStr">
        <is>
          <t>Tickets bout en bout</t>
        </is>
      </c>
      <c r="F11" s="28" t="inlineStr">
        <is>
          <t>Cycle support ferme</t>
        </is>
      </c>
      <c r="G11" t="inlineStr">
        <is>
          <t>S3</t>
        </is>
      </c>
      <c r="H11" t="inlineStr">
        <is>
          <t>1 sem.</t>
        </is>
      </c>
      <c r="I11" t="inlineStr">
        <is>
          <t>Support avec assets</t>
        </is>
      </c>
    </row>
    <row r="12">
      <c r="A12" s="28" t="inlineStr">
        <is>
          <t>Lot 6 - Tiers</t>
        </is>
      </c>
      <c r="B12" s="28" t="inlineStr">
        <is>
          <t>Haute</t>
        </is>
      </c>
      <c r="C12" s="28" t="inlineStr">
        <is>
          <t>Qualifier referentiel tiers</t>
        </is>
      </c>
      <c r="D12" s="28" t="inlineStr">
        <is>
          <t>Gestionnaire tiers</t>
        </is>
      </c>
      <c r="E12" s="28" t="inlineStr">
        <is>
          <t>Import et fiches tiers</t>
        </is>
      </c>
      <c r="F12" s="28" t="inlineStr">
        <is>
          <t>Tiers exploitables</t>
        </is>
      </c>
      <c r="G12" t="inlineStr">
        <is>
          <t>S6</t>
        </is>
      </c>
      <c r="H12" t="inlineStr">
        <is>
          <t>1 sem.</t>
        </is>
      </c>
      <c r="I12" t="inlineStr">
        <is>
          <t>Tiers</t>
        </is>
      </c>
    </row>
    <row r="13">
      <c r="A13" s="28" t="inlineStr">
        <is>
          <t>Lot 7 - Projets</t>
        </is>
      </c>
      <c r="B13" s="28" t="inlineStr">
        <is>
          <t>Haute</t>
        </is>
      </c>
      <c r="C13" s="28" t="inlineStr">
        <is>
          <t>Qualifier pilotage projet</t>
        </is>
      </c>
      <c r="D13" s="28" t="inlineStr">
        <is>
          <t>Chef de projet</t>
        </is>
      </c>
      <c r="E13" s="28" t="inlineStr">
        <is>
          <t>Projet pilote complet</t>
        </is>
      </c>
      <c r="F13" s="28" t="inlineStr">
        <is>
          <t>Projet exploitable</t>
        </is>
      </c>
      <c r="G13" t="inlineStr">
        <is>
          <t>S7</t>
        </is>
      </c>
      <c r="H13" t="inlineStr">
        <is>
          <t>1 sem.</t>
        </is>
      </c>
      <c r="I13" t="inlineStr">
        <is>
          <t>Projets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1.88000011444092" customWidth="1" min="3" max="3"/>
    <col width="11.88000011444092" customWidth="1" min="4" max="4"/>
    <col width="14.38000011444092" customWidth="1" min="5" max="5"/>
    <col width="13.75" customWidth="1" min="6" max="6"/>
    <col width="13.75" customWidth="1" min="7" max="7"/>
    <col width="11.88000011444092" customWidth="1" min="8" max="8"/>
  </cols>
  <sheetData>
    <row r="1" ht="21" customHeight="1">
      <c r="A1" s="21" t="inlineStr">
        <is>
          <t>Matrice roles et permissions</t>
        </is>
      </c>
    </row>
    <row r="2" ht="21" customHeight="1">
      <c r="A2" s="22" t="inlineStr">
        <is>
          <t>A verifier pendant la recette pour eviter toute derive de droits.</t>
        </is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</row>
    <row r="5">
      <c r="A5" s="31" t="inlineStr">
        <is>
          <t>Role</t>
        </is>
      </c>
      <c r="B5" s="31" t="inlineStr">
        <is>
          <t>Profil attendu</t>
        </is>
      </c>
      <c r="C5" s="31" t="inlineStr">
        <is>
          <t>Lecture</t>
        </is>
      </c>
      <c r="D5" s="31" t="inlineStr">
        <is>
          <t>Creation</t>
        </is>
      </c>
      <c r="E5" s="31" t="inlineStr">
        <is>
          <t>Modification</t>
        </is>
      </c>
      <c r="F5" s="31" t="inlineStr">
        <is>
          <t>Suppression</t>
        </is>
      </c>
      <c r="G5" s="31" t="inlineStr">
        <is>
          <t>Validation</t>
        </is>
      </c>
      <c r="H5" s="31" t="inlineStr">
        <is>
          <t>Export</t>
        </is>
      </c>
    </row>
    <row r="6">
      <c r="A6" s="23" t="inlineStr">
        <is>
          <t>Admin</t>
        </is>
      </c>
      <c r="B6" s="23" t="inlineStr">
        <is>
          <t>Configuration globale</t>
        </is>
      </c>
      <c r="C6" s="23" t="inlineStr">
        <is>
          <t>Oui</t>
        </is>
      </c>
      <c r="D6" s="23" t="inlineStr">
        <is>
          <t>Oui</t>
        </is>
      </c>
      <c r="E6" s="23" t="inlineStr">
        <is>
          <t>Oui</t>
        </is>
      </c>
      <c r="F6" s="23" t="inlineStr">
        <is>
          <t>Oui</t>
        </is>
      </c>
      <c r="G6" s="23" t="inlineStr">
        <is>
          <t>Oui</t>
        </is>
      </c>
      <c r="H6" s="23" t="inlineStr">
        <is>
          <t>Oui</t>
        </is>
      </c>
    </row>
    <row r="7">
      <c r="A7" s="23" t="inlineStr">
        <is>
          <t>Manager</t>
        </is>
      </c>
      <c r="B7" s="23" t="inlineStr">
        <is>
          <t>Supervision operationnelle</t>
        </is>
      </c>
      <c r="C7" s="23" t="inlineStr">
        <is>
          <t>Oui</t>
        </is>
      </c>
      <c r="D7" s="23" t="inlineStr">
        <is>
          <t>Selon perimetre</t>
        </is>
      </c>
      <c r="E7" s="23" t="inlineStr">
        <is>
          <t>Selon perimetre</t>
        </is>
      </c>
      <c r="F7" s="23" t="inlineStr">
        <is>
          <t>Non</t>
        </is>
      </c>
      <c r="G7" s="23" t="inlineStr">
        <is>
          <t>Selon perimetre</t>
        </is>
      </c>
      <c r="H7" s="23" t="inlineStr">
        <is>
          <t>Oui</t>
        </is>
      </c>
    </row>
    <row r="8">
      <c r="A8" s="23" t="inlineStr">
        <is>
          <t>Responsable conformite</t>
        </is>
      </c>
      <c r="B8" s="23" t="inlineStr">
        <is>
          <t>Referentiels, audits, regles</t>
        </is>
      </c>
      <c r="C8" s="23" t="inlineStr">
        <is>
          <t>Oui</t>
        </is>
      </c>
      <c r="D8" s="23" t="inlineStr">
        <is>
          <t>Oui</t>
        </is>
      </c>
      <c r="E8" s="23" t="inlineStr">
        <is>
          <t>Oui</t>
        </is>
      </c>
      <c r="F8" s="23" t="inlineStr">
        <is>
          <t>Selon droit</t>
        </is>
      </c>
      <c r="G8" s="23" t="inlineStr">
        <is>
          <t>Oui</t>
        </is>
      </c>
      <c r="H8" s="23" t="inlineStr">
        <is>
          <t>Oui</t>
        </is>
      </c>
    </row>
    <row r="9">
      <c r="A9" s="23" t="inlineStr">
        <is>
          <t>Validateur</t>
        </is>
      </c>
      <c r="B9" s="23" t="inlineStr">
        <is>
          <t>Valider/refuser elements soumis</t>
        </is>
      </c>
      <c r="C9" s="23" t="inlineStr">
        <is>
          <t>Oui</t>
        </is>
      </c>
      <c r="D9" s="23" t="inlineStr">
        <is>
          <t>Non</t>
        </is>
      </c>
      <c r="E9" s="23" t="inlineStr">
        <is>
          <t>Non</t>
        </is>
      </c>
      <c r="F9" s="23" t="inlineStr">
        <is>
          <t>Non</t>
        </is>
      </c>
      <c r="G9" s="23" t="inlineStr">
        <is>
          <t>Oui</t>
        </is>
      </c>
      <c r="H9" s="23" t="inlineStr">
        <is>
          <t>Oui</t>
        </is>
      </c>
    </row>
    <row r="10">
      <c r="A10" s="23" t="inlineStr">
        <is>
          <t>Gestionnaire tiers</t>
        </is>
      </c>
      <c r="B10" s="23" t="inlineStr">
        <is>
          <t>Entreprises, contacts, documents</t>
        </is>
      </c>
      <c r="C10" s="23" t="inlineStr">
        <is>
          <t>Oui</t>
        </is>
      </c>
      <c r="D10" s="23" t="inlineStr">
        <is>
          <t>Oui</t>
        </is>
      </c>
      <c r="E10" s="23" t="inlineStr">
        <is>
          <t>Oui</t>
        </is>
      </c>
      <c r="F10" s="23" t="inlineStr">
        <is>
          <t>Selon droit</t>
        </is>
      </c>
      <c r="G10" s="23" t="inlineStr">
        <is>
          <t>Non</t>
        </is>
      </c>
      <c r="H10" s="23" t="inlineStr">
        <is>
          <t>Oui</t>
        </is>
      </c>
    </row>
    <row r="11">
      <c r="A11" s="23" t="inlineStr">
        <is>
          <t>Chef de projet</t>
        </is>
      </c>
      <c r="B11" s="23" t="inlineStr">
        <is>
          <t>Projets, taches, planning</t>
        </is>
      </c>
      <c r="C11" s="23" t="inlineStr">
        <is>
          <t>Oui</t>
        </is>
      </c>
      <c r="D11" s="23" t="inlineStr">
        <is>
          <t>Oui</t>
        </is>
      </c>
      <c r="E11" s="23" t="inlineStr">
        <is>
          <t>Oui</t>
        </is>
      </c>
      <c r="F11" s="23" t="inlineStr">
        <is>
          <t>Selon droit</t>
        </is>
      </c>
      <c r="G11" s="23" t="inlineStr">
        <is>
          <t>Selon workflow</t>
        </is>
      </c>
      <c r="H11" s="23" t="inlineStr">
        <is>
          <t>Oui</t>
        </is>
      </c>
    </row>
    <row r="12">
      <c r="A12" s="23" t="inlineStr">
        <is>
          <t>Lecture seule</t>
        </is>
      </c>
      <c r="B12" s="23" t="inlineStr">
        <is>
          <t>Consultation</t>
        </is>
      </c>
      <c r="C12" s="23" t="inlineStr">
        <is>
          <t>Oui</t>
        </is>
      </c>
      <c r="D12" s="23" t="inlineStr">
        <is>
          <t>Non</t>
        </is>
      </c>
      <c r="E12" s="23" t="inlineStr">
        <is>
          <t>Non</t>
        </is>
      </c>
      <c r="F12" s="23" t="inlineStr">
        <is>
          <t>Non</t>
        </is>
      </c>
      <c r="G12" s="23" t="inlineStr">
        <is>
          <t>Non</t>
        </is>
      </c>
      <c r="H12" s="23" t="inlineStr">
        <is>
          <t>Selon droit</t>
        </is>
      </c>
    </row>
    <row r="13">
      <c r="A13" s="23" t="inlineStr">
        <is>
          <t>Utilisateur externe</t>
        </is>
      </c>
      <c r="B13" s="23" t="inlineStr">
        <is>
          <t>Perimetre limite</t>
        </is>
      </c>
      <c r="C13" s="23" t="inlineStr">
        <is>
          <t>Limite</t>
        </is>
      </c>
      <c r="D13" s="23" t="inlineStr">
        <is>
          <t>Limite</t>
        </is>
      </c>
      <c r="E13" s="23" t="inlineStr">
        <is>
          <t>Limite</t>
        </is>
      </c>
      <c r="F13" s="23" t="inlineStr">
        <is>
          <t>Non</t>
        </is>
      </c>
      <c r="G13" s="23" t="inlineStr">
        <is>
          <t>Non</t>
        </is>
      </c>
      <c r="H13" s="23" t="inlineStr">
        <is>
          <t>Non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31.25" customWidth="1" min="2" max="2"/>
    <col width="18.75" customWidth="1" min="3" max="3"/>
    <col width="13.75" customWidth="1" min="4" max="4"/>
    <col width="15" customWidth="1" min="5" max="5"/>
    <col width="15" customWidth="1" min="6" max="6"/>
    <col width="15" customWidth="1" min="7" max="7"/>
    <col width="32.5" customWidth="1" min="8" max="8"/>
  </cols>
  <sheetData>
    <row r="1" ht="21" customHeight="1">
      <c r="A1" s="21" t="inlineStr">
        <is>
          <t>Catalogue donnees de test</t>
        </is>
      </c>
    </row>
    <row r="2" ht="21" customHeight="1">
      <c r="A2" s="22" t="inlineStr">
        <is>
          <t>Suivi des donnees a fournir, importer et valider.</t>
        </is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</row>
    <row r="5">
      <c r="A5" s="31" t="inlineStr">
        <is>
          <t>Domaine</t>
        </is>
      </c>
      <c r="B5" s="31" t="inlineStr">
        <is>
          <t>Jeu de donnees</t>
        </is>
      </c>
      <c r="C5" s="31" t="inlineStr">
        <is>
          <t>Format</t>
        </is>
      </c>
      <c r="D5" s="31" t="inlineStr">
        <is>
          <t>Obligatoire</t>
        </is>
      </c>
      <c r="E5" s="31" t="inlineStr">
        <is>
          <t>Responsable</t>
        </is>
      </c>
      <c r="F5" s="31" t="inlineStr">
        <is>
          <t>Statut</t>
        </is>
      </c>
      <c r="G5" s="31" t="inlineStr">
        <is>
          <t>Date reception</t>
        </is>
      </c>
      <c r="H5" s="31" t="inlineStr">
        <is>
          <t>Commentaire</t>
        </is>
      </c>
    </row>
    <row r="6">
      <c r="A6" s="23" t="inlineStr">
        <is>
          <t>Utilisateurs</t>
        </is>
      </c>
      <c r="B6" s="23" t="inlineStr">
        <is>
          <t>Comptes OVA et roles</t>
        </is>
      </c>
      <c r="C6" s="23" t="inlineStr">
        <is>
          <t>Excel/CSV</t>
        </is>
      </c>
      <c r="D6" s="23" t="inlineStr">
        <is>
          <t>Oui</t>
        </is>
      </c>
      <c r="E6" s="23" t="inlineStr">
        <is>
          <t>OVA</t>
        </is>
      </c>
      <c r="F6" s="23" t="inlineStr">
        <is>
          <t>A fournir</t>
        </is>
      </c>
      <c r="G6" s="23" t="str"/>
      <c r="H6" s="23" t="str"/>
    </row>
    <row r="7">
      <c r="A7" s="23" t="inlineStr">
        <is>
          <t>Entites</t>
        </is>
      </c>
      <c r="B7" s="23" t="inlineStr">
        <is>
          <t>Societes, sites, departements</t>
        </is>
      </c>
      <c r="C7" s="23" t="inlineStr">
        <is>
          <t>Excel/CSV</t>
        </is>
      </c>
      <c r="D7" s="23" t="inlineStr">
        <is>
          <t>Oui</t>
        </is>
      </c>
      <c r="E7" s="23" t="inlineStr">
        <is>
          <t>OVA</t>
        </is>
      </c>
      <c r="F7" s="23" t="inlineStr">
        <is>
          <t>A fournir</t>
        </is>
      </c>
      <c r="G7" s="23" t="str"/>
      <c r="H7" s="23" t="str"/>
    </row>
    <row r="8">
      <c r="A8" s="23" t="inlineStr">
        <is>
          <t>Assets</t>
        </is>
      </c>
      <c r="B8" s="23" t="inlineStr">
        <is>
          <t>Inventaire pilote et documents</t>
        </is>
      </c>
      <c r="C8" s="23" t="inlineStr">
        <is>
          <t>Excel/CSV + fichiers</t>
        </is>
      </c>
      <c r="D8" s="23" t="inlineStr">
        <is>
          <t>Oui</t>
        </is>
      </c>
      <c r="E8" s="23" t="inlineStr">
        <is>
          <t>OVA</t>
        </is>
      </c>
      <c r="F8" s="23" t="inlineStr">
        <is>
          <t>A fournir</t>
        </is>
      </c>
      <c r="G8" s="23" t="str"/>
      <c r="H8" s="23" t="str"/>
    </row>
    <row r="9">
      <c r="A9" s="23" t="inlineStr">
        <is>
          <t>Conformite</t>
        </is>
      </c>
      <c r="B9" s="23" t="inlineStr">
        <is>
          <t>Referentiels, audits, centres</t>
        </is>
      </c>
      <c r="C9" s="23" t="inlineStr">
        <is>
          <t>Excel/CSV + PDF</t>
        </is>
      </c>
      <c r="D9" s="23" t="inlineStr">
        <is>
          <t>Oui</t>
        </is>
      </c>
      <c r="E9" s="23" t="inlineStr">
        <is>
          <t>OVA</t>
        </is>
      </c>
      <c r="F9" s="23" t="inlineStr">
        <is>
          <t>A fournir</t>
        </is>
      </c>
      <c r="G9" s="23" t="str"/>
      <c r="H9" s="23" t="str"/>
    </row>
    <row r="10">
      <c r="A10" s="23" t="inlineStr">
        <is>
          <t>Tiers</t>
        </is>
      </c>
      <c r="B10" s="23" t="inlineStr">
        <is>
          <t>Entreprises et contacts</t>
        </is>
      </c>
      <c r="C10" s="23" t="inlineStr">
        <is>
          <t>Excel/CSV</t>
        </is>
      </c>
      <c r="D10" s="23" t="inlineStr">
        <is>
          <t>Oui</t>
        </is>
      </c>
      <c r="E10" s="23" t="inlineStr">
        <is>
          <t>OVA</t>
        </is>
      </c>
      <c r="F10" s="23" t="inlineStr">
        <is>
          <t>A fournir</t>
        </is>
      </c>
      <c r="G10" s="23" t="str"/>
      <c r="H10" s="23" t="str"/>
    </row>
    <row r="11">
      <c r="A11" s="23" t="inlineStr">
        <is>
          <t>Projets</t>
        </is>
      </c>
      <c r="B11" s="23" t="inlineStr">
        <is>
          <t>Projets, taches, budgets, WBS</t>
        </is>
      </c>
      <c r="C11" s="23" t="inlineStr">
        <is>
          <t>Excel/CSV</t>
        </is>
      </c>
      <c r="D11" s="23" t="inlineStr">
        <is>
          <t>Oui</t>
        </is>
      </c>
      <c r="E11" s="23" t="inlineStr">
        <is>
          <t>OVA</t>
        </is>
      </c>
      <c r="F11" s="23" t="inlineStr">
        <is>
          <t>A fournir</t>
        </is>
      </c>
      <c r="G11" s="23" t="str"/>
      <c r="H11" s="23" t="str"/>
    </row>
    <row r="12">
      <c r="A12" s="23" t="inlineStr">
        <is>
          <t>Support</t>
        </is>
      </c>
      <c r="B12" s="23" t="inlineStr">
        <is>
          <t>Categories, SLA, equipes</t>
        </is>
      </c>
      <c r="C12" s="23" t="inlineStr">
        <is>
          <t>Tableau</t>
        </is>
      </c>
      <c r="D12" s="23" t="inlineStr">
        <is>
          <t>Non</t>
        </is>
      </c>
      <c r="E12" s="23" t="inlineStr">
        <is>
          <t>OVA</t>
        </is>
      </c>
      <c r="F12" s="23" t="inlineStr">
        <is>
          <t>A confirmer</t>
        </is>
      </c>
      <c r="G12" s="23" t="str"/>
      <c r="H12" s="23" t="str"/>
    </row>
  </sheetData>
  <mergeCells count="2">
    <mergeCell ref="A2:H2"/>
    <mergeCell ref="A1:H1"/>
  </mergeCells>
  <dataValidations count="1">
    <dataValidation sqref="F6:F40" showDropDown="0" showInputMessage="0" showErrorMessage="0" allowBlank="0" type="list">
      <formula1>"A fournir,Recu,Importe,Valide,A corriger,Non 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12.5" customWidth="1" min="2" max="2"/>
    <col width="16.25" customWidth="1" min="3" max="3"/>
    <col width="30" customWidth="1" min="4" max="4"/>
    <col width="15" customWidth="1" min="5" max="5"/>
    <col width="12.5" customWidth="1" min="6" max="6"/>
    <col width="12.5" customWidth="1" min="7" max="7"/>
    <col width="37.5" customWidth="1" min="8" max="8"/>
    <col width="32.5" customWidth="1" min="9" max="9"/>
    <col width="32.5" customWidth="1" min="10" max="10"/>
    <col width="13.75" customWidth="1" min="11" max="11"/>
  </cols>
  <sheetData>
    <row r="1" ht="21" customHeight="1">
      <c r="A1" s="21" t="inlineStr">
        <is>
          <t>Registre anomalies et ameliorations</t>
        </is>
      </c>
    </row>
    <row r="2" ht="21" customHeight="1">
      <c r="A2" s="22" t="inlineStr">
        <is>
          <t>A remplir pour chaque bug, dette fonctionnelle ou demande d amelioration identifiee pendant la recette.</t>
        </is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</row>
    <row r="5">
      <c r="A5" s="31" t="inlineStr">
        <is>
          <t>ID</t>
        </is>
      </c>
      <c r="B5" s="31" t="inlineStr">
        <is>
          <t>Date</t>
        </is>
      </c>
      <c r="C5" s="31" t="inlineStr">
        <is>
          <t>Module</t>
        </is>
      </c>
      <c r="D5" s="31" t="inlineStr">
        <is>
          <t>Titre</t>
        </is>
      </c>
      <c r="E5" s="31" t="inlineStr">
        <is>
          <t>Type</t>
        </is>
      </c>
      <c r="F5" s="31" t="inlineStr">
        <is>
          <t>Gravite</t>
        </is>
      </c>
      <c r="G5" s="31" t="inlineStr">
        <is>
          <t>Priorite</t>
        </is>
      </c>
      <c r="H5" s="31" t="inlineStr">
        <is>
          <t>Etapes reproduction</t>
        </is>
      </c>
      <c r="I5" s="31" t="inlineStr">
        <is>
          <t>Resultat attendu</t>
        </is>
      </c>
      <c r="J5" s="31" t="inlineStr">
        <is>
          <t>Resultat observe</t>
        </is>
      </c>
      <c r="K5" s="31" t="inlineStr">
        <is>
          <t>Statut</t>
        </is>
      </c>
    </row>
    <row r="6">
      <c r="A6" s="23" t="inlineStr">
        <is>
          <t>BUG-001</t>
        </is>
      </c>
      <c r="B6" s="23" t="str"/>
      <c r="C6" s="23" t="str"/>
      <c r="D6" s="23" t="str"/>
      <c r="E6" s="23" t="inlineStr">
        <is>
          <t>Anomalie</t>
        </is>
      </c>
      <c r="F6" s="23" t="str"/>
      <c r="G6" s="23" t="str"/>
      <c r="H6" s="28" t="str"/>
      <c r="I6" s="28" t="str"/>
      <c r="J6" s="28" t="str"/>
      <c r="K6" s="23" t="inlineStr">
        <is>
          <t>Ouvert</t>
        </is>
      </c>
    </row>
    <row r="7">
      <c r="A7" s="23" t="inlineStr">
        <is>
          <t>BUG-002</t>
        </is>
      </c>
      <c r="B7" s="23" t="str"/>
      <c r="C7" s="23" t="str"/>
      <c r="D7" s="23" t="str"/>
      <c r="E7" s="23" t="inlineStr">
        <is>
          <t>Anomalie</t>
        </is>
      </c>
      <c r="F7" s="23" t="str"/>
      <c r="G7" s="23" t="str"/>
      <c r="H7" s="28" t="str"/>
      <c r="I7" s="28" t="str"/>
      <c r="J7" s="28" t="str"/>
      <c r="K7" s="23" t="inlineStr">
        <is>
          <t>Ouvert</t>
        </is>
      </c>
    </row>
    <row r="8">
      <c r="A8" s="23" t="inlineStr">
        <is>
          <t>BUG-003</t>
        </is>
      </c>
      <c r="B8" s="23" t="str"/>
      <c r="C8" s="23" t="str"/>
      <c r="D8" s="23" t="str"/>
      <c r="E8" s="23" t="inlineStr">
        <is>
          <t>Anomalie</t>
        </is>
      </c>
      <c r="F8" s="23" t="str"/>
      <c r="G8" s="23" t="str"/>
      <c r="H8" s="28" t="str"/>
      <c r="I8" s="28" t="str"/>
      <c r="J8" s="28" t="str"/>
      <c r="K8" s="23" t="inlineStr">
        <is>
          <t>Ouvert</t>
        </is>
      </c>
    </row>
    <row r="9">
      <c r="A9" s="23" t="inlineStr">
        <is>
          <t>BUG-004</t>
        </is>
      </c>
      <c r="B9" s="23" t="str"/>
      <c r="C9" s="23" t="str"/>
      <c r="D9" s="23" t="str"/>
      <c r="E9" s="23" t="inlineStr">
        <is>
          <t>Anomalie</t>
        </is>
      </c>
      <c r="F9" s="23" t="str"/>
      <c r="G9" s="23" t="str"/>
      <c r="H9" s="28" t="str"/>
      <c r="I9" s="28" t="str"/>
      <c r="J9" s="28" t="str"/>
      <c r="K9" s="23" t="inlineStr">
        <is>
          <t>Ouvert</t>
        </is>
      </c>
    </row>
    <row r="10">
      <c r="A10" s="23" t="inlineStr">
        <is>
          <t>BUG-005</t>
        </is>
      </c>
      <c r="B10" s="23" t="str"/>
      <c r="C10" s="23" t="str"/>
      <c r="D10" s="23" t="str"/>
      <c r="E10" s="23" t="inlineStr">
        <is>
          <t>Anomalie</t>
        </is>
      </c>
      <c r="F10" s="23" t="str"/>
      <c r="G10" s="23" t="str"/>
      <c r="H10" s="28" t="str"/>
      <c r="I10" s="28" t="str"/>
      <c r="J10" s="28" t="str"/>
      <c r="K10" s="23" t="inlineStr">
        <is>
          <t>Ouvert</t>
        </is>
      </c>
    </row>
    <row r="11">
      <c r="A11" s="23" t="inlineStr">
        <is>
          <t>BUG-006</t>
        </is>
      </c>
      <c r="B11" s="23" t="str"/>
      <c r="C11" s="23" t="str"/>
      <c r="D11" s="23" t="str"/>
      <c r="E11" s="23" t="inlineStr">
        <is>
          <t>Anomalie</t>
        </is>
      </c>
      <c r="F11" s="23" t="str"/>
      <c r="G11" s="23" t="str"/>
      <c r="H11" s="28" t="str"/>
      <c r="I11" s="28" t="str"/>
      <c r="J11" s="28" t="str"/>
      <c r="K11" s="23" t="inlineStr">
        <is>
          <t>Ouvert</t>
        </is>
      </c>
    </row>
    <row r="12">
      <c r="A12" s="23" t="inlineStr">
        <is>
          <t>BUG-007</t>
        </is>
      </c>
      <c r="B12" s="23" t="str"/>
      <c r="C12" s="23" t="str"/>
      <c r="D12" s="23" t="str"/>
      <c r="E12" s="23" t="inlineStr">
        <is>
          <t>Anomalie</t>
        </is>
      </c>
      <c r="F12" s="23" t="str"/>
      <c r="G12" s="23" t="str"/>
      <c r="H12" s="28" t="str"/>
      <c r="I12" s="28" t="str"/>
      <c r="J12" s="28" t="str"/>
      <c r="K12" s="23" t="inlineStr">
        <is>
          <t>Ouvert</t>
        </is>
      </c>
    </row>
    <row r="13">
      <c r="A13" s="23" t="inlineStr">
        <is>
          <t>BUG-008</t>
        </is>
      </c>
      <c r="B13" s="23" t="str"/>
      <c r="C13" s="23" t="str"/>
      <c r="D13" s="23" t="str"/>
      <c r="E13" s="23" t="inlineStr">
        <is>
          <t>Anomalie</t>
        </is>
      </c>
      <c r="F13" s="23" t="str"/>
      <c r="G13" s="23" t="str"/>
      <c r="H13" s="28" t="str"/>
      <c r="I13" s="28" t="str"/>
      <c r="J13" s="28" t="str"/>
      <c r="K13" s="23" t="inlineStr">
        <is>
          <t>Ouvert</t>
        </is>
      </c>
    </row>
    <row r="14">
      <c r="A14" s="23" t="inlineStr">
        <is>
          <t>BUG-009</t>
        </is>
      </c>
      <c r="B14" s="23" t="str"/>
      <c r="C14" s="23" t="str"/>
      <c r="D14" s="23" t="str"/>
      <c r="E14" s="23" t="inlineStr">
        <is>
          <t>Anomalie</t>
        </is>
      </c>
      <c r="F14" s="23" t="str"/>
      <c r="G14" s="23" t="str"/>
      <c r="H14" s="28" t="str"/>
      <c r="I14" s="28" t="str"/>
      <c r="J14" s="28" t="str"/>
      <c r="K14" s="23" t="inlineStr">
        <is>
          <t>Ouvert</t>
        </is>
      </c>
    </row>
    <row r="15">
      <c r="A15" s="23" t="inlineStr">
        <is>
          <t>BUG-010</t>
        </is>
      </c>
      <c r="B15" s="23" t="str"/>
      <c r="C15" s="23" t="str"/>
      <c r="D15" s="23" t="str"/>
      <c r="E15" s="23" t="inlineStr">
        <is>
          <t>Anomalie</t>
        </is>
      </c>
      <c r="F15" s="23" t="str"/>
      <c r="G15" s="23" t="str"/>
      <c r="H15" s="28" t="str"/>
      <c r="I15" s="28" t="str"/>
      <c r="J15" s="28" t="str"/>
      <c r="K15" s="23" t="inlineStr">
        <is>
          <t>Ouvert</t>
        </is>
      </c>
    </row>
    <row r="16">
      <c r="A16" s="23" t="inlineStr">
        <is>
          <t>BUG-011</t>
        </is>
      </c>
      <c r="B16" s="23" t="str"/>
      <c r="C16" s="23" t="str"/>
      <c r="D16" s="23" t="str"/>
      <c r="E16" s="23" t="inlineStr">
        <is>
          <t>Anomalie</t>
        </is>
      </c>
      <c r="F16" s="23" t="str"/>
      <c r="G16" s="23" t="str"/>
      <c r="H16" s="28" t="str"/>
      <c r="I16" s="28" t="str"/>
      <c r="J16" s="28" t="str"/>
      <c r="K16" s="23" t="inlineStr">
        <is>
          <t>Ouvert</t>
        </is>
      </c>
    </row>
    <row r="17">
      <c r="A17" s="23" t="inlineStr">
        <is>
          <t>BUG-012</t>
        </is>
      </c>
      <c r="B17" s="23" t="str"/>
      <c r="C17" s="23" t="str"/>
      <c r="D17" s="23" t="str"/>
      <c r="E17" s="23" t="inlineStr">
        <is>
          <t>Anomalie</t>
        </is>
      </c>
      <c r="F17" s="23" t="str"/>
      <c r="G17" s="23" t="str"/>
      <c r="H17" s="28" t="str"/>
      <c r="I17" s="28" t="str"/>
      <c r="J17" s="28" t="str"/>
      <c r="K17" s="23" t="inlineStr">
        <is>
          <t>Ouvert</t>
        </is>
      </c>
    </row>
    <row r="18">
      <c r="A18" s="23" t="inlineStr">
        <is>
          <t>BUG-013</t>
        </is>
      </c>
      <c r="B18" s="23" t="str"/>
      <c r="C18" s="23" t="str"/>
      <c r="D18" s="23" t="str"/>
      <c r="E18" s="23" t="inlineStr">
        <is>
          <t>Anomalie</t>
        </is>
      </c>
      <c r="F18" s="23" t="str"/>
      <c r="G18" s="23" t="str"/>
      <c r="H18" s="28" t="str"/>
      <c r="I18" s="28" t="str"/>
      <c r="J18" s="28" t="str"/>
      <c r="K18" s="23" t="inlineStr">
        <is>
          <t>Ouvert</t>
        </is>
      </c>
    </row>
    <row r="19">
      <c r="A19" s="23" t="inlineStr">
        <is>
          <t>BUG-014</t>
        </is>
      </c>
      <c r="B19" s="23" t="str"/>
      <c r="C19" s="23" t="str"/>
      <c r="D19" s="23" t="str"/>
      <c r="E19" s="23" t="inlineStr">
        <is>
          <t>Anomalie</t>
        </is>
      </c>
      <c r="F19" s="23" t="str"/>
      <c r="G19" s="23" t="str"/>
      <c r="H19" s="28" t="str"/>
      <c r="I19" s="28" t="str"/>
      <c r="J19" s="28" t="str"/>
      <c r="K19" s="23" t="inlineStr">
        <is>
          <t>Ouvert</t>
        </is>
      </c>
    </row>
    <row r="20">
      <c r="A20" s="23" t="inlineStr">
        <is>
          <t>BUG-015</t>
        </is>
      </c>
      <c r="B20" s="23" t="str"/>
      <c r="C20" s="23" t="str"/>
      <c r="D20" s="23" t="str"/>
      <c r="E20" s="23" t="inlineStr">
        <is>
          <t>Anomalie</t>
        </is>
      </c>
      <c r="F20" s="23" t="str"/>
      <c r="G20" s="23" t="str"/>
      <c r="H20" s="28" t="str"/>
      <c r="I20" s="28" t="str"/>
      <c r="J20" s="28" t="str"/>
      <c r="K20" s="23" t="inlineStr">
        <is>
          <t>Ouvert</t>
        </is>
      </c>
    </row>
    <row r="21">
      <c r="A21" s="23" t="inlineStr">
        <is>
          <t>BUG-016</t>
        </is>
      </c>
      <c r="B21" s="23" t="str"/>
      <c r="C21" s="23" t="str"/>
      <c r="D21" s="23" t="str"/>
      <c r="E21" s="23" t="inlineStr">
        <is>
          <t>Anomalie</t>
        </is>
      </c>
      <c r="F21" s="23" t="str"/>
      <c r="G21" s="23" t="str"/>
      <c r="H21" s="28" t="str"/>
      <c r="I21" s="28" t="str"/>
      <c r="J21" s="28" t="str"/>
      <c r="K21" s="23" t="inlineStr">
        <is>
          <t>Ouvert</t>
        </is>
      </c>
    </row>
    <row r="22">
      <c r="A22" s="23" t="inlineStr">
        <is>
          <t>BUG-017</t>
        </is>
      </c>
      <c r="B22" s="23" t="str"/>
      <c r="C22" s="23" t="str"/>
      <c r="D22" s="23" t="str"/>
      <c r="E22" s="23" t="inlineStr">
        <is>
          <t>Anomalie</t>
        </is>
      </c>
      <c r="F22" s="23" t="str"/>
      <c r="G22" s="23" t="str"/>
      <c r="H22" s="28" t="str"/>
      <c r="I22" s="28" t="str"/>
      <c r="J22" s="28" t="str"/>
      <c r="K22" s="23" t="inlineStr">
        <is>
          <t>Ouvert</t>
        </is>
      </c>
    </row>
    <row r="23">
      <c r="A23" s="23" t="inlineStr">
        <is>
          <t>BUG-018</t>
        </is>
      </c>
      <c r="B23" s="23" t="str"/>
      <c r="C23" s="23" t="str"/>
      <c r="D23" s="23" t="str"/>
      <c r="E23" s="23" t="inlineStr">
        <is>
          <t>Anomalie</t>
        </is>
      </c>
      <c r="F23" s="23" t="str"/>
      <c r="G23" s="23" t="str"/>
      <c r="H23" s="28" t="str"/>
      <c r="I23" s="28" t="str"/>
      <c r="J23" s="28" t="str"/>
      <c r="K23" s="23" t="inlineStr">
        <is>
          <t>Ouvert</t>
        </is>
      </c>
    </row>
    <row r="24">
      <c r="A24" s="23" t="inlineStr">
        <is>
          <t>BUG-019</t>
        </is>
      </c>
      <c r="B24" s="23" t="str"/>
      <c r="C24" s="23" t="str"/>
      <c r="D24" s="23" t="str"/>
      <c r="E24" s="23" t="inlineStr">
        <is>
          <t>Anomalie</t>
        </is>
      </c>
      <c r="F24" s="23" t="str"/>
      <c r="G24" s="23" t="str"/>
      <c r="H24" s="28" t="str"/>
      <c r="I24" s="28" t="str"/>
      <c r="J24" s="28" t="str"/>
      <c r="K24" s="23" t="inlineStr">
        <is>
          <t>Ouvert</t>
        </is>
      </c>
    </row>
    <row r="25">
      <c r="A25" s="23" t="inlineStr">
        <is>
          <t>BUG-020</t>
        </is>
      </c>
      <c r="B25" s="23" t="str"/>
      <c r="C25" s="23" t="str"/>
      <c r="D25" s="23" t="str"/>
      <c r="E25" s="23" t="inlineStr">
        <is>
          <t>Anomalie</t>
        </is>
      </c>
      <c r="F25" s="23" t="str"/>
      <c r="G25" s="23" t="str"/>
      <c r="H25" s="28" t="str"/>
      <c r="I25" s="28" t="str"/>
      <c r="J25" s="28" t="str"/>
      <c r="K25" s="23" t="inlineStr">
        <is>
          <t>Ouvert</t>
        </is>
      </c>
    </row>
    <row r="26">
      <c r="A26" s="23" t="inlineStr">
        <is>
          <t>BUG-021</t>
        </is>
      </c>
      <c r="B26" s="23" t="str"/>
      <c r="C26" s="23" t="str"/>
      <c r="D26" s="23" t="str"/>
      <c r="E26" s="23" t="inlineStr">
        <is>
          <t>Anomalie</t>
        </is>
      </c>
      <c r="F26" s="23" t="str"/>
      <c r="G26" s="23" t="str"/>
      <c r="H26" s="28" t="str"/>
      <c r="I26" s="28" t="str"/>
      <c r="J26" s="28" t="str"/>
      <c r="K26" s="23" t="inlineStr">
        <is>
          <t>Ouvert</t>
        </is>
      </c>
    </row>
    <row r="27">
      <c r="A27" s="23" t="inlineStr">
        <is>
          <t>BUG-022</t>
        </is>
      </c>
      <c r="B27" s="23" t="str"/>
      <c r="C27" s="23" t="str"/>
      <c r="D27" s="23" t="str"/>
      <c r="E27" s="23" t="inlineStr">
        <is>
          <t>Anomalie</t>
        </is>
      </c>
      <c r="F27" s="23" t="str"/>
      <c r="G27" s="23" t="str"/>
      <c r="H27" s="28" t="str"/>
      <c r="I27" s="28" t="str"/>
      <c r="J27" s="28" t="str"/>
      <c r="K27" s="23" t="inlineStr">
        <is>
          <t>Ouvert</t>
        </is>
      </c>
    </row>
    <row r="28">
      <c r="A28" s="23" t="inlineStr">
        <is>
          <t>BUG-023</t>
        </is>
      </c>
      <c r="B28" s="23" t="str"/>
      <c r="C28" s="23" t="str"/>
      <c r="D28" s="23" t="str"/>
      <c r="E28" s="23" t="inlineStr">
        <is>
          <t>Anomalie</t>
        </is>
      </c>
      <c r="F28" s="23" t="str"/>
      <c r="G28" s="23" t="str"/>
      <c r="H28" s="28" t="str"/>
      <c r="I28" s="28" t="str"/>
      <c r="J28" s="28" t="str"/>
      <c r="K28" s="23" t="inlineStr">
        <is>
          <t>Ouvert</t>
        </is>
      </c>
    </row>
    <row r="29">
      <c r="A29" s="23" t="inlineStr">
        <is>
          <t>BUG-024</t>
        </is>
      </c>
      <c r="B29" s="23" t="str"/>
      <c r="C29" s="23" t="str"/>
      <c r="D29" s="23" t="str"/>
      <c r="E29" s="23" t="inlineStr">
        <is>
          <t>Anomalie</t>
        </is>
      </c>
      <c r="F29" s="23" t="str"/>
      <c r="G29" s="23" t="str"/>
      <c r="H29" s="28" t="str"/>
      <c r="I29" s="28" t="str"/>
      <c r="J29" s="28" t="str"/>
      <c r="K29" s="23" t="inlineStr">
        <is>
          <t>Ouvert</t>
        </is>
      </c>
    </row>
    <row r="30">
      <c r="A30" s="23" t="inlineStr">
        <is>
          <t>BUG-025</t>
        </is>
      </c>
      <c r="B30" s="23" t="str"/>
      <c r="C30" s="23" t="str"/>
      <c r="D30" s="23" t="str"/>
      <c r="E30" s="23" t="inlineStr">
        <is>
          <t>Anomalie</t>
        </is>
      </c>
      <c r="F30" s="23" t="str"/>
      <c r="G30" s="23" t="str"/>
      <c r="H30" s="28" t="str"/>
      <c r="I30" s="28" t="str"/>
      <c r="J30" s="28" t="str"/>
      <c r="K30" s="23" t="inlineStr">
        <is>
          <t>Ouvert</t>
        </is>
      </c>
    </row>
    <row r="31">
      <c r="A31" s="23" t="inlineStr">
        <is>
          <t>BUG-026</t>
        </is>
      </c>
      <c r="B31" s="23" t="str"/>
      <c r="C31" s="23" t="str"/>
      <c r="D31" s="23" t="str"/>
      <c r="E31" s="23" t="inlineStr">
        <is>
          <t>Anomalie</t>
        </is>
      </c>
      <c r="F31" s="23" t="str"/>
      <c r="G31" s="23" t="str"/>
      <c r="H31" s="28" t="str"/>
      <c r="I31" s="28" t="str"/>
      <c r="J31" s="28" t="str"/>
      <c r="K31" s="23" t="inlineStr">
        <is>
          <t>Ouvert</t>
        </is>
      </c>
    </row>
    <row r="32">
      <c r="A32" s="23" t="inlineStr">
        <is>
          <t>BUG-027</t>
        </is>
      </c>
      <c r="B32" s="23" t="str"/>
      <c r="C32" s="23" t="str"/>
      <c r="D32" s="23" t="str"/>
      <c r="E32" s="23" t="inlineStr">
        <is>
          <t>Anomalie</t>
        </is>
      </c>
      <c r="F32" s="23" t="str"/>
      <c r="G32" s="23" t="str"/>
      <c r="H32" s="28" t="str"/>
      <c r="I32" s="28" t="str"/>
      <c r="J32" s="28" t="str"/>
      <c r="K32" s="23" t="inlineStr">
        <is>
          <t>Ouvert</t>
        </is>
      </c>
    </row>
    <row r="33">
      <c r="A33" s="23" t="inlineStr">
        <is>
          <t>BUG-028</t>
        </is>
      </c>
      <c r="B33" s="23" t="str"/>
      <c r="C33" s="23" t="str"/>
      <c r="D33" s="23" t="str"/>
      <c r="E33" s="23" t="inlineStr">
        <is>
          <t>Anomalie</t>
        </is>
      </c>
      <c r="F33" s="23" t="str"/>
      <c r="G33" s="23" t="str"/>
      <c r="H33" s="28" t="str"/>
      <c r="I33" s="28" t="str"/>
      <c r="J33" s="28" t="str"/>
      <c r="K33" s="23" t="inlineStr">
        <is>
          <t>Ouvert</t>
        </is>
      </c>
    </row>
    <row r="34">
      <c r="A34" s="23" t="inlineStr">
        <is>
          <t>BUG-029</t>
        </is>
      </c>
      <c r="B34" s="23" t="str"/>
      <c r="C34" s="23" t="str"/>
      <c r="D34" s="23" t="str"/>
      <c r="E34" s="23" t="inlineStr">
        <is>
          <t>Anomalie</t>
        </is>
      </c>
      <c r="F34" s="23" t="str"/>
      <c r="G34" s="23" t="str"/>
      <c r="H34" s="28" t="str"/>
      <c r="I34" s="28" t="str"/>
      <c r="J34" s="28" t="str"/>
      <c r="K34" s="23" t="inlineStr">
        <is>
          <t>Ouvert</t>
        </is>
      </c>
    </row>
    <row r="35">
      <c r="A35" s="23" t="inlineStr">
        <is>
          <t>BUG-030</t>
        </is>
      </c>
      <c r="B35" s="23" t="str"/>
      <c r="C35" s="23" t="str"/>
      <c r="D35" s="23" t="str"/>
      <c r="E35" s="23" t="inlineStr">
        <is>
          <t>Anomalie</t>
        </is>
      </c>
      <c r="F35" s="23" t="str"/>
      <c r="G35" s="23" t="str"/>
      <c r="H35" s="28" t="str"/>
      <c r="I35" s="28" t="str"/>
      <c r="J35" s="28" t="str"/>
      <c r="K35" s="23" t="inlineStr">
        <is>
          <t>Ouvert</t>
        </is>
      </c>
    </row>
    <row r="36">
      <c r="A36" s="23" t="inlineStr">
        <is>
          <t>BUG-031</t>
        </is>
      </c>
      <c r="B36" s="23" t="str"/>
      <c r="C36" s="23" t="str"/>
      <c r="D36" s="23" t="str"/>
      <c r="E36" s="23" t="inlineStr">
        <is>
          <t>Anomalie</t>
        </is>
      </c>
      <c r="F36" s="23" t="str"/>
      <c r="G36" s="23" t="str"/>
      <c r="H36" s="28" t="str"/>
      <c r="I36" s="28" t="str"/>
      <c r="J36" s="28" t="str"/>
      <c r="K36" s="23" t="inlineStr">
        <is>
          <t>Ouvert</t>
        </is>
      </c>
    </row>
    <row r="37">
      <c r="A37" s="23" t="inlineStr">
        <is>
          <t>BUG-032</t>
        </is>
      </c>
      <c r="B37" s="23" t="str"/>
      <c r="C37" s="23" t="str"/>
      <c r="D37" s="23" t="str"/>
      <c r="E37" s="23" t="inlineStr">
        <is>
          <t>Anomalie</t>
        </is>
      </c>
      <c r="F37" s="23" t="str"/>
      <c r="G37" s="23" t="str"/>
      <c r="H37" s="28" t="str"/>
      <c r="I37" s="28" t="str"/>
      <c r="J37" s="28" t="str"/>
      <c r="K37" s="23" t="inlineStr">
        <is>
          <t>Ouvert</t>
        </is>
      </c>
    </row>
    <row r="38">
      <c r="A38" s="23" t="inlineStr">
        <is>
          <t>BUG-033</t>
        </is>
      </c>
      <c r="B38" s="23" t="str"/>
      <c r="C38" s="23" t="str"/>
      <c r="D38" s="23" t="str"/>
      <c r="E38" s="23" t="inlineStr">
        <is>
          <t>Anomalie</t>
        </is>
      </c>
      <c r="F38" s="23" t="str"/>
      <c r="G38" s="23" t="str"/>
      <c r="H38" s="28" t="str"/>
      <c r="I38" s="28" t="str"/>
      <c r="J38" s="28" t="str"/>
      <c r="K38" s="23" t="inlineStr">
        <is>
          <t>Ouvert</t>
        </is>
      </c>
    </row>
    <row r="39">
      <c r="A39" s="23" t="inlineStr">
        <is>
          <t>BUG-034</t>
        </is>
      </c>
      <c r="B39" s="23" t="str"/>
      <c r="C39" s="23" t="str"/>
      <c r="D39" s="23" t="str"/>
      <c r="E39" s="23" t="inlineStr">
        <is>
          <t>Anomalie</t>
        </is>
      </c>
      <c r="F39" s="23" t="str"/>
      <c r="G39" s="23" t="str"/>
      <c r="H39" s="28" t="str"/>
      <c r="I39" s="28" t="str"/>
      <c r="J39" s="28" t="str"/>
      <c r="K39" s="23" t="inlineStr">
        <is>
          <t>Ouvert</t>
        </is>
      </c>
    </row>
    <row r="40">
      <c r="A40" s="23" t="inlineStr">
        <is>
          <t>BUG-035</t>
        </is>
      </c>
      <c r="B40" s="23" t="str"/>
      <c r="C40" s="23" t="str"/>
      <c r="D40" s="23" t="str"/>
      <c r="E40" s="23" t="inlineStr">
        <is>
          <t>Anomalie</t>
        </is>
      </c>
      <c r="F40" s="23" t="str"/>
      <c r="G40" s="23" t="str"/>
      <c r="H40" s="28" t="str"/>
      <c r="I40" s="28" t="str"/>
      <c r="J40" s="28" t="str"/>
      <c r="K40" s="23" t="inlineStr">
        <is>
          <t>Ouvert</t>
        </is>
      </c>
    </row>
    <row r="41">
      <c r="A41" s="23" t="inlineStr">
        <is>
          <t>BUG-036</t>
        </is>
      </c>
      <c r="B41" s="23" t="str"/>
      <c r="C41" s="23" t="str"/>
      <c r="D41" s="23" t="str"/>
      <c r="E41" s="23" t="inlineStr">
        <is>
          <t>Anomalie</t>
        </is>
      </c>
      <c r="F41" s="23" t="str"/>
      <c r="G41" s="23" t="str"/>
      <c r="H41" s="28" t="str"/>
      <c r="I41" s="28" t="str"/>
      <c r="J41" s="28" t="str"/>
      <c r="K41" s="23" t="inlineStr">
        <is>
          <t>Ouvert</t>
        </is>
      </c>
    </row>
    <row r="42">
      <c r="A42" s="23" t="inlineStr">
        <is>
          <t>BUG-037</t>
        </is>
      </c>
      <c r="B42" s="23" t="str"/>
      <c r="C42" s="23" t="str"/>
      <c r="D42" s="23" t="str"/>
      <c r="E42" s="23" t="inlineStr">
        <is>
          <t>Anomalie</t>
        </is>
      </c>
      <c r="F42" s="23" t="str"/>
      <c r="G42" s="23" t="str"/>
      <c r="H42" s="28" t="str"/>
      <c r="I42" s="28" t="str"/>
      <c r="J42" s="28" t="str"/>
      <c r="K42" s="23" t="inlineStr">
        <is>
          <t>Ouvert</t>
        </is>
      </c>
    </row>
    <row r="43">
      <c r="A43" s="23" t="inlineStr">
        <is>
          <t>BUG-038</t>
        </is>
      </c>
      <c r="B43" s="23" t="str"/>
      <c r="C43" s="23" t="str"/>
      <c r="D43" s="23" t="str"/>
      <c r="E43" s="23" t="inlineStr">
        <is>
          <t>Anomalie</t>
        </is>
      </c>
      <c r="F43" s="23" t="str"/>
      <c r="G43" s="23" t="str"/>
      <c r="H43" s="28" t="str"/>
      <c r="I43" s="28" t="str"/>
      <c r="J43" s="28" t="str"/>
      <c r="K43" s="23" t="inlineStr">
        <is>
          <t>Ouvert</t>
        </is>
      </c>
    </row>
    <row r="44">
      <c r="A44" s="23" t="inlineStr">
        <is>
          <t>BUG-039</t>
        </is>
      </c>
      <c r="B44" s="23" t="str"/>
      <c r="C44" s="23" t="str"/>
      <c r="D44" s="23" t="str"/>
      <c r="E44" s="23" t="inlineStr">
        <is>
          <t>Anomalie</t>
        </is>
      </c>
      <c r="F44" s="23" t="str"/>
      <c r="G44" s="23" t="str"/>
      <c r="H44" s="28" t="str"/>
      <c r="I44" s="28" t="str"/>
      <c r="J44" s="28" t="str"/>
      <c r="K44" s="23" t="inlineStr">
        <is>
          <t>Ouvert</t>
        </is>
      </c>
    </row>
    <row r="45">
      <c r="A45" s="23" t="inlineStr">
        <is>
          <t>BUG-040</t>
        </is>
      </c>
      <c r="B45" s="23" t="str"/>
      <c r="C45" s="23" t="str"/>
      <c r="D45" s="23" t="str"/>
      <c r="E45" s="23" t="inlineStr">
        <is>
          <t>Anomalie</t>
        </is>
      </c>
      <c r="F45" s="23" t="str"/>
      <c r="G45" s="23" t="str"/>
      <c r="H45" s="28" t="str"/>
      <c r="I45" s="28" t="str"/>
      <c r="J45" s="28" t="str"/>
      <c r="K45" s="23" t="inlineStr">
        <is>
          <t>Ouvert</t>
        </is>
      </c>
    </row>
    <row r="46">
      <c r="A46" s="23" t="inlineStr">
        <is>
          <t>BUG-041</t>
        </is>
      </c>
      <c r="B46" s="23" t="str"/>
      <c r="C46" s="23" t="str"/>
      <c r="D46" s="23" t="str"/>
      <c r="E46" s="23" t="inlineStr">
        <is>
          <t>Anomalie</t>
        </is>
      </c>
      <c r="F46" s="23" t="str"/>
      <c r="G46" s="23" t="str"/>
      <c r="H46" s="28" t="str"/>
      <c r="I46" s="28" t="str"/>
      <c r="J46" s="28" t="str"/>
      <c r="K46" s="23" t="inlineStr">
        <is>
          <t>Ouvert</t>
        </is>
      </c>
    </row>
    <row r="47">
      <c r="A47" s="23" t="inlineStr">
        <is>
          <t>BUG-042</t>
        </is>
      </c>
      <c r="B47" s="23" t="str"/>
      <c r="C47" s="23" t="str"/>
      <c r="D47" s="23" t="str"/>
      <c r="E47" s="23" t="inlineStr">
        <is>
          <t>Anomalie</t>
        </is>
      </c>
      <c r="F47" s="23" t="str"/>
      <c r="G47" s="23" t="str"/>
      <c r="H47" s="28" t="str"/>
      <c r="I47" s="28" t="str"/>
      <c r="J47" s="28" t="str"/>
      <c r="K47" s="23" t="inlineStr">
        <is>
          <t>Ouvert</t>
        </is>
      </c>
    </row>
    <row r="48">
      <c r="A48" s="23" t="inlineStr">
        <is>
          <t>BUG-043</t>
        </is>
      </c>
      <c r="B48" s="23" t="str"/>
      <c r="C48" s="23" t="str"/>
      <c r="D48" s="23" t="str"/>
      <c r="E48" s="23" t="inlineStr">
        <is>
          <t>Anomalie</t>
        </is>
      </c>
      <c r="F48" s="23" t="str"/>
      <c r="G48" s="23" t="str"/>
      <c r="H48" s="28" t="str"/>
      <c r="I48" s="28" t="str"/>
      <c r="J48" s="28" t="str"/>
      <c r="K48" s="23" t="inlineStr">
        <is>
          <t>Ouvert</t>
        </is>
      </c>
    </row>
    <row r="49">
      <c r="A49" s="23" t="inlineStr">
        <is>
          <t>BUG-044</t>
        </is>
      </c>
      <c r="B49" s="23" t="str"/>
      <c r="C49" s="23" t="str"/>
      <c r="D49" s="23" t="str"/>
      <c r="E49" s="23" t="inlineStr">
        <is>
          <t>Anomalie</t>
        </is>
      </c>
      <c r="F49" s="23" t="str"/>
      <c r="G49" s="23" t="str"/>
      <c r="H49" s="28" t="str"/>
      <c r="I49" s="28" t="str"/>
      <c r="J49" s="28" t="str"/>
      <c r="K49" s="23" t="inlineStr">
        <is>
          <t>Ouvert</t>
        </is>
      </c>
    </row>
    <row r="50">
      <c r="A50" s="23" t="inlineStr">
        <is>
          <t>BUG-045</t>
        </is>
      </c>
      <c r="B50" s="23" t="str"/>
      <c r="C50" s="23" t="str"/>
      <c r="D50" s="23" t="str"/>
      <c r="E50" s="23" t="inlineStr">
        <is>
          <t>Anomalie</t>
        </is>
      </c>
      <c r="F50" s="23" t="str"/>
      <c r="G50" s="23" t="str"/>
      <c r="H50" s="28" t="str"/>
      <c r="I50" s="28" t="str"/>
      <c r="J50" s="28" t="str"/>
      <c r="K50" s="23" t="inlineStr">
        <is>
          <t>Ouvert</t>
        </is>
      </c>
    </row>
    <row r="51">
      <c r="A51" s="23" t="inlineStr">
        <is>
          <t>BUG-046</t>
        </is>
      </c>
      <c r="B51" s="23" t="str"/>
      <c r="C51" s="23" t="str"/>
      <c r="D51" s="23" t="str"/>
      <c r="E51" s="23" t="inlineStr">
        <is>
          <t>Anomalie</t>
        </is>
      </c>
      <c r="F51" s="23" t="str"/>
      <c r="G51" s="23" t="str"/>
      <c r="H51" s="28" t="str"/>
      <c r="I51" s="28" t="str"/>
      <c r="J51" s="28" t="str"/>
      <c r="K51" s="23" t="inlineStr">
        <is>
          <t>Ouvert</t>
        </is>
      </c>
    </row>
    <row r="52">
      <c r="A52" s="23" t="inlineStr">
        <is>
          <t>BUG-047</t>
        </is>
      </c>
      <c r="B52" s="23" t="str"/>
      <c r="C52" s="23" t="str"/>
      <c r="D52" s="23" t="str"/>
      <c r="E52" s="23" t="inlineStr">
        <is>
          <t>Anomalie</t>
        </is>
      </c>
      <c r="F52" s="23" t="str"/>
      <c r="G52" s="23" t="str"/>
      <c r="H52" s="28" t="str"/>
      <c r="I52" s="28" t="str"/>
      <c r="J52" s="28" t="str"/>
      <c r="K52" s="23" t="inlineStr">
        <is>
          <t>Ouvert</t>
        </is>
      </c>
    </row>
    <row r="53">
      <c r="A53" s="23" t="inlineStr">
        <is>
          <t>BUG-048</t>
        </is>
      </c>
      <c r="B53" s="23" t="str"/>
      <c r="C53" s="23" t="str"/>
      <c r="D53" s="23" t="str"/>
      <c r="E53" s="23" t="inlineStr">
        <is>
          <t>Anomalie</t>
        </is>
      </c>
      <c r="F53" s="23" t="str"/>
      <c r="G53" s="23" t="str"/>
      <c r="H53" s="28" t="str"/>
      <c r="I53" s="28" t="str"/>
      <c r="J53" s="28" t="str"/>
      <c r="K53" s="23" t="inlineStr">
        <is>
          <t>Ouvert</t>
        </is>
      </c>
    </row>
    <row r="54">
      <c r="A54" s="23" t="inlineStr">
        <is>
          <t>BUG-049</t>
        </is>
      </c>
      <c r="B54" s="23" t="str"/>
      <c r="C54" s="23" t="str"/>
      <c r="D54" s="23" t="str"/>
      <c r="E54" s="23" t="inlineStr">
        <is>
          <t>Anomalie</t>
        </is>
      </c>
      <c r="F54" s="23" t="str"/>
      <c r="G54" s="23" t="str"/>
      <c r="H54" s="28" t="str"/>
      <c r="I54" s="28" t="str"/>
      <c r="J54" s="28" t="str"/>
      <c r="K54" s="23" t="inlineStr">
        <is>
          <t>Ouvert</t>
        </is>
      </c>
    </row>
    <row r="55">
      <c r="A55" s="23" t="inlineStr">
        <is>
          <t>BUG-050</t>
        </is>
      </c>
      <c r="B55" s="23" t="str"/>
      <c r="C55" s="23" t="str"/>
      <c r="D55" s="23" t="str"/>
      <c r="E55" s="23" t="inlineStr">
        <is>
          <t>Anomalie</t>
        </is>
      </c>
      <c r="F55" s="23" t="str"/>
      <c r="G55" s="23" t="str"/>
      <c r="H55" s="28" t="str"/>
      <c r="I55" s="28" t="str"/>
      <c r="J55" s="28" t="str"/>
      <c r="K55" s="23" t="inlineStr">
        <is>
          <t>Ouvert</t>
        </is>
      </c>
    </row>
    <row r="56">
      <c r="A56" t="inlineStr">
        <is>
          <t>ANO-AUTO-001</t>
        </is>
      </c>
      <c r="D56" t="inlineStr">
        <is>
          <t>500 sur creation type conformite (ct.scope inexistant)</t>
        </is>
      </c>
    </row>
  </sheetData>
  <mergeCells count="2">
    <mergeCell ref="A2:K2"/>
    <mergeCell ref="A1:K1"/>
  </mergeCells>
  <dataValidations count="4">
    <dataValidation sqref="E6:E55" showDropDown="0" showInputMessage="0" showErrorMessage="0" allowBlank="0" type="list">
      <formula1>"Anomalie,Amelioration,Question,Dette technique"</formula1>
    </dataValidation>
    <dataValidation sqref="F6:F55" showDropDown="0" showInputMessage="0" showErrorMessage="0" allowBlank="0" type="list">
      <formula1>"Bloquant,Majeur,Mineur,Cosmetique,N/A"</formula1>
    </dataValidation>
    <dataValidation sqref="G6:G55" showDropDown="0" showInputMessage="0" showErrorMessage="0" allowBlank="0" type="list">
      <formula1>"Critique,Haute,Normale,Basse"</formula1>
    </dataValidation>
    <dataValidation sqref="K6:K55" showDropDown="0" showInputMessage="0" showErrorMessage="0" allowBlank="0" type="list">
      <formula1>"Ouvert,En analyse,Corrige,A re-tester,Clos,Rejete"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12.5" customWidth="1" min="2" max="2"/>
    <col width="13.75" customWidth="1" min="3" max="3"/>
    <col width="21.25" customWidth="1" min="4" max="4"/>
    <col width="13.75" customWidth="1" min="5" max="5"/>
    <col width="16.25" customWidth="1" min="6" max="6"/>
    <col width="21.25" customWidth="1" min="7" max="7"/>
    <col width="21.25" customWidth="1" min="8" max="8"/>
  </cols>
  <sheetData>
    <row r="1">
      <c r="A1" s="31" t="inlineStr">
        <is>
          <t>Statuts</t>
        </is>
      </c>
      <c r="B1" s="31" t="inlineStr">
        <is>
          <t>Priorites</t>
        </is>
      </c>
      <c r="C1" s="31" t="inlineStr">
        <is>
          <t>Gravites</t>
        </is>
      </c>
      <c r="D1" s="31" t="inlineStr">
        <is>
          <t>Roles</t>
        </is>
      </c>
      <c r="E1" s="31" t="inlineStr">
        <is>
          <t>Plateformes</t>
        </is>
      </c>
      <c r="F1" s="31" t="inlineStr">
        <is>
          <t>Types controle</t>
        </is>
      </c>
      <c r="G1" s="31" t="inlineStr">
        <is>
          <t>Lots</t>
        </is>
      </c>
      <c r="H1" s="31" t="inlineStr">
        <is>
          <t>Modules</t>
        </is>
      </c>
    </row>
    <row r="2">
      <c r="A2" s="23" t="inlineStr">
        <is>
          <t>Non demarre</t>
        </is>
      </c>
      <c r="B2" s="23" t="inlineStr">
        <is>
          <t>Critique</t>
        </is>
      </c>
      <c r="C2" s="23" t="inlineStr">
        <is>
          <t>Bloquant</t>
        </is>
      </c>
      <c r="D2" s="23" t="inlineStr">
        <is>
          <t>Admin</t>
        </is>
      </c>
      <c r="E2" s="23" t="inlineStr">
        <is>
          <t>Desktop</t>
        </is>
      </c>
      <c r="F2" s="23" t="inlineStr">
        <is>
          <t>Fonctionnel</t>
        </is>
      </c>
      <c r="G2" s="23" t="inlineStr">
        <is>
          <t>Lot 0 - Acces</t>
        </is>
      </c>
      <c r="H2" s="23" t="inlineStr">
        <is>
          <t>Acces</t>
        </is>
      </c>
    </row>
    <row r="3">
      <c r="A3" s="23" t="inlineStr">
        <is>
          <t>En cours</t>
        </is>
      </c>
      <c r="B3" s="23" t="inlineStr">
        <is>
          <t>Haute</t>
        </is>
      </c>
      <c r="C3" s="23" t="inlineStr">
        <is>
          <t>Majeur</t>
        </is>
      </c>
      <c r="D3" s="23" t="inlineStr">
        <is>
          <t>Manager</t>
        </is>
      </c>
      <c r="E3" s="23" t="inlineStr">
        <is>
          <t>Mobile</t>
        </is>
      </c>
      <c r="F3" s="23" t="inlineStr">
        <is>
          <t>Permission</t>
        </is>
      </c>
      <c r="G3" s="23" t="inlineStr">
        <is>
          <t>Lot 1 - Profil</t>
        </is>
      </c>
      <c r="H3" s="23" t="inlineStr">
        <is>
          <t>Profil</t>
        </is>
      </c>
    </row>
    <row r="4">
      <c r="A4" s="23" t="inlineStr">
        <is>
          <t>OK</t>
        </is>
      </c>
      <c r="B4" s="23" t="inlineStr">
        <is>
          <t>Normale</t>
        </is>
      </c>
      <c r="C4" s="23" t="inlineStr">
        <is>
          <t>Mineur</t>
        </is>
      </c>
      <c r="D4" s="23" t="inlineStr">
        <is>
          <t>Responsable conformite</t>
        </is>
      </c>
      <c r="E4" s="23" t="inlineStr">
        <is>
          <t>Tablette</t>
        </is>
      </c>
      <c r="F4" s="23" t="inlineStr">
        <is>
          <t>Securite</t>
        </is>
      </c>
      <c r="G4" s="23" t="inlineStr">
        <is>
          <t>Lot 2 - Comptes/RBAC</t>
        </is>
      </c>
      <c r="H4" s="23" t="inlineStr">
        <is>
          <t>Preferences</t>
        </is>
      </c>
    </row>
    <row r="5">
      <c r="A5" s="23" t="inlineStr">
        <is>
          <t>KO</t>
        </is>
      </c>
      <c r="B5" s="23" t="inlineStr">
        <is>
          <t>Basse</t>
        </is>
      </c>
      <c r="C5" s="23" t="inlineStr">
        <is>
          <t>Cosmetique</t>
        </is>
      </c>
      <c r="D5" s="23" t="inlineStr">
        <is>
          <t>Validateur</t>
        </is>
      </c>
      <c r="E5" s="23" t="inlineStr">
        <is>
          <t>Toutes</t>
        </is>
      </c>
      <c r="F5" s="23" t="inlineStr">
        <is>
          <t>Responsive</t>
        </is>
      </c>
      <c r="G5" s="23" t="inlineStr">
        <is>
          <t>Lot 3 - Assets</t>
        </is>
      </c>
      <c r="H5" s="23" t="inlineStr">
        <is>
          <t>Comptes</t>
        </is>
      </c>
    </row>
    <row r="6">
      <c r="A6" s="23" t="inlineStr">
        <is>
          <t>Bloque</t>
        </is>
      </c>
      <c r="B6" s="23" t="str"/>
      <c r="C6" s="23" t="inlineStr">
        <is>
          <t>N/A</t>
        </is>
      </c>
      <c r="D6" s="23" t="inlineStr">
        <is>
          <t>Gestionnaire tiers</t>
        </is>
      </c>
      <c r="E6" s="23" t="str"/>
      <c r="F6" s="23" t="inlineStr">
        <is>
          <t>Traduction</t>
        </is>
      </c>
      <c r="G6" s="23" t="inlineStr">
        <is>
          <t>Lot 4 - Conformite</t>
        </is>
      </c>
      <c r="H6" s="23" t="inlineStr">
        <is>
          <t>Roles</t>
        </is>
      </c>
    </row>
    <row r="7">
      <c r="A7" s="23" t="inlineStr">
        <is>
          <t>A re-tester</t>
        </is>
      </c>
      <c r="B7" s="23" t="str"/>
      <c r="C7" s="23" t="str"/>
      <c r="D7" s="23" t="inlineStr">
        <is>
          <t>Chef de projet</t>
        </is>
      </c>
      <c r="E7" s="23" t="str"/>
      <c r="F7" s="23" t="inlineStr">
        <is>
          <t>Documentation</t>
        </is>
      </c>
      <c r="G7" s="23" t="inlineStr">
        <is>
          <t>Lot 5 - Support</t>
        </is>
      </c>
      <c r="H7" s="23" t="inlineStr">
        <is>
          <t>Permissions</t>
        </is>
      </c>
    </row>
    <row r="8">
      <c r="A8" s="23" t="inlineStr">
        <is>
          <t>Hors perimetre</t>
        </is>
      </c>
      <c r="B8" s="23" t="str"/>
      <c r="C8" s="23" t="str"/>
      <c r="D8" s="23" t="inlineStr">
        <is>
          <t>Agent support</t>
        </is>
      </c>
      <c r="E8" s="23" t="str"/>
      <c r="F8" s="23" t="inlineStr">
        <is>
          <t>Donnees</t>
        </is>
      </c>
      <c r="G8" s="23" t="inlineStr">
        <is>
          <t>Lot 6 - Tiers</t>
        </is>
      </c>
      <c r="H8" s="23" t="inlineStr">
        <is>
          <t>Assets</t>
        </is>
      </c>
    </row>
    <row r="9">
      <c r="A9" s="23" t="str"/>
      <c r="B9" s="23" t="str"/>
      <c r="C9" s="23" t="str"/>
      <c r="D9" s="23" t="inlineStr">
        <is>
          <t>Gestionnaire assets</t>
        </is>
      </c>
      <c r="E9" s="23" t="str"/>
      <c r="F9" s="23" t="inlineStr">
        <is>
          <t>Notification</t>
        </is>
      </c>
      <c r="G9" s="23" t="inlineStr">
        <is>
          <t>Lot 7 - Projets</t>
        </is>
      </c>
      <c r="H9" s="23" t="inlineStr">
        <is>
          <t>Conformite</t>
        </is>
      </c>
    </row>
    <row r="10">
      <c r="A10" s="23" t="str"/>
      <c r="B10" s="23" t="str"/>
      <c r="C10" s="23" t="str"/>
      <c r="D10" s="23" t="inlineStr">
        <is>
          <t>Lecture seule</t>
        </is>
      </c>
      <c r="E10" s="23" t="str"/>
      <c r="F10" s="23" t="inlineStr">
        <is>
          <t>Performance</t>
        </is>
      </c>
      <c r="G10" s="23" t="str"/>
      <c r="H10" s="23" t="inlineStr">
        <is>
          <t>Referentiels</t>
        </is>
      </c>
    </row>
    <row r="11">
      <c r="A11" s="23" t="str"/>
      <c r="B11" s="23" t="str"/>
      <c r="C11" s="23" t="str"/>
      <c r="D11" s="23" t="inlineStr">
        <is>
          <t>Utilisateur externe</t>
        </is>
      </c>
      <c r="E11" s="23" t="str"/>
      <c r="F11" s="23" t="str"/>
      <c r="G11" s="23" t="str"/>
      <c r="H11" s="23" t="inlineStr">
        <is>
          <t>Audits tiers</t>
        </is>
      </c>
    </row>
    <row r="12">
      <c r="A12" s="23" t="str"/>
      <c r="B12" s="23" t="str"/>
      <c r="C12" s="23" t="str"/>
      <c r="D12" s="23" t="str"/>
      <c r="E12" s="23" t="str"/>
      <c r="F12" s="23" t="str"/>
      <c r="G12" s="23" t="str"/>
      <c r="H12" s="23" t="inlineStr">
        <is>
          <t>Support</t>
        </is>
      </c>
    </row>
    <row r="13">
      <c r="A13" s="23" t="str"/>
      <c r="B13" s="23" t="str"/>
      <c r="C13" s="23" t="str"/>
      <c r="D13" s="23" t="str"/>
      <c r="E13" s="23" t="str"/>
      <c r="F13" s="23" t="str"/>
      <c r="G13" s="23" t="str"/>
      <c r="H13" s="23" t="inlineStr">
        <is>
          <t>Tiers entreprises</t>
        </is>
      </c>
    </row>
    <row r="14">
      <c r="A14" s="23" t="str"/>
      <c r="B14" s="23" t="str"/>
      <c r="C14" s="23" t="str"/>
      <c r="D14" s="23" t="str"/>
      <c r="E14" s="23" t="str"/>
      <c r="F14" s="23" t="str"/>
      <c r="G14" s="23" t="str"/>
      <c r="H14" s="23" t="inlineStr">
        <is>
          <t>Tiers contacts</t>
        </is>
      </c>
    </row>
    <row r="15">
      <c r="A15" s="23" t="str"/>
      <c r="B15" s="23" t="str"/>
      <c r="C15" s="23" t="str"/>
      <c r="D15" s="23" t="str"/>
      <c r="E15" s="23" t="str"/>
      <c r="F15" s="23" t="str"/>
      <c r="G15" s="23" t="str"/>
      <c r="H15" s="23" t="inlineStr">
        <is>
          <t>Documents</t>
        </is>
      </c>
    </row>
    <row r="16">
      <c r="A16" s="23" t="str"/>
      <c r="B16" s="23" t="str"/>
      <c r="C16" s="23" t="str"/>
      <c r="D16" s="23" t="str"/>
      <c r="E16" s="23" t="str"/>
      <c r="F16" s="23" t="str"/>
      <c r="G16" s="23" t="str"/>
      <c r="H16" s="23" t="inlineStr">
        <is>
          <t>Projets</t>
        </is>
      </c>
    </row>
    <row r="17">
      <c r="A17" s="23" t="str"/>
      <c r="B17" s="23" t="str"/>
      <c r="C17" s="23" t="str"/>
      <c r="D17" s="23" t="str"/>
      <c r="E17" s="23" t="str"/>
      <c r="F17" s="23" t="str"/>
      <c r="G17" s="23" t="str"/>
      <c r="H17" s="23" t="inlineStr">
        <is>
          <t>Taches</t>
        </is>
      </c>
    </row>
    <row r="18">
      <c r="A18" s="23" t="str"/>
      <c r="B18" s="23" t="str"/>
      <c r="C18" s="23" t="str"/>
      <c r="D18" s="23" t="str"/>
      <c r="E18" s="23" t="str"/>
      <c r="F18" s="23" t="str"/>
      <c r="G18" s="23" t="str"/>
      <c r="H18" s="23" t="inlineStr">
        <is>
          <t>Planning</t>
        </is>
      </c>
    </row>
    <row r="19">
      <c r="A19" s="23" t="str"/>
      <c r="B19" s="23" t="str"/>
      <c r="C19" s="23" t="str"/>
      <c r="D19" s="23" t="str"/>
      <c r="E19" s="23" t="str"/>
      <c r="F19" s="23" t="str"/>
      <c r="G19" s="23" t="str"/>
      <c r="H19" s="23" t="inlineStr">
        <is>
          <t>Budget</t>
        </is>
      </c>
    </row>
    <row r="20">
      <c r="A20" s="23" t="str"/>
      <c r="B20" s="23" t="str"/>
      <c r="C20" s="23" t="str"/>
      <c r="D20" s="23" t="str"/>
      <c r="E20" s="23" t="str"/>
      <c r="F20" s="23" t="str"/>
      <c r="G20" s="23" t="str"/>
      <c r="H20" s="23" t="inlineStr">
        <is>
          <t>Changements</t>
        </is>
      </c>
    </row>
    <row r="21">
      <c r="A21" s="23" t="str"/>
      <c r="B21" s="23" t="str"/>
      <c r="C21" s="23" t="str"/>
      <c r="D21" s="23" t="str"/>
      <c r="E21" s="23" t="str"/>
      <c r="F21" s="23" t="str"/>
      <c r="G21" s="23" t="str"/>
      <c r="H21" s="23" t="inlineStr">
        <is>
          <t>Notifications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.25" customWidth="1" min="2" max="2"/>
    <col width="26.25" customWidth="1" min="3" max="3"/>
    <col width="30" customWidth="1" min="4" max="4"/>
    <col width="40" customWidth="1" min="5" max="5"/>
    <col width="31.25" customWidth="1" min="6" max="6"/>
    <col width="31.25" customWidth="1" min="7" max="7"/>
    <col width="23.75" customWidth="1" min="8" max="8"/>
    <col width="15" customWidth="1" min="9" max="9"/>
    <col width="32.5" customWidth="1" min="10" max="10"/>
  </cols>
  <sheetData>
    <row r="1" ht="21" customHeight="1">
      <c r="A1" s="39" t="inlineStr">
        <is>
          <t>Calendrier de recette OVA - 2 mois</t>
        </is>
      </c>
    </row>
    <row r="2" ht="21" customHeight="1">
      <c r="A2" s="42" t="inlineStr">
        <is>
          <t>Planning nominal sur 8 semaines a compter de T0, date de mise a disposition des acces et donnees initiales.</t>
        </is>
      </c>
    </row>
    <row r="5">
      <c r="A5" s="36" t="inlineStr">
        <is>
          <t>Semaine</t>
        </is>
      </c>
      <c r="B5" s="36" t="inlineStr">
        <is>
          <t>Periode</t>
        </is>
      </c>
      <c r="C5" s="36" t="inlineStr">
        <is>
          <t>Lots</t>
        </is>
      </c>
      <c r="D5" s="36" t="inlineStr">
        <is>
          <t>Objectif</t>
        </is>
      </c>
      <c r="E5" s="36" t="inlineStr">
        <is>
          <t>Actions OVA</t>
        </is>
      </c>
      <c r="F5" s="36" t="inlineStr">
        <is>
          <t>Livrables attendus</t>
        </is>
      </c>
      <c r="G5" s="36" t="inlineStr">
        <is>
          <t>Critere de sortie</t>
        </is>
      </c>
      <c r="H5" s="36" t="inlineStr">
        <is>
          <t>Decision fin semaine</t>
        </is>
      </c>
      <c r="I5" s="36" t="inlineStr">
        <is>
          <t>Statut</t>
        </is>
      </c>
      <c r="J5" s="36" t="inlineStr">
        <is>
          <t>Commentaires</t>
        </is>
      </c>
    </row>
    <row r="6">
      <c r="A6" s="12" t="inlineStr">
        <is>
          <t>S1</t>
        </is>
      </c>
      <c r="B6" s="12" t="inlineStr">
        <is>
          <t>T0 + 1 semaine</t>
        </is>
      </c>
      <c r="C6" s="12" t="inlineStr">
        <is>
          <t>Lot 0 - Acces</t>
        </is>
      </c>
      <c r="D6" s="12" t="inlineStr">
        <is>
          <t>Demarrer proprement la recette</t>
        </is>
      </c>
      <c r="E6" s="12" t="inlineStr">
        <is>
          <t>Connexion, comptes, navigation, presentation du suivi, collecte donnees critiques</t>
        </is>
      </c>
      <c r="F6" s="12" t="inlineStr">
        <is>
          <t>Acces confirmes, liste comptes, premiers retours</t>
        </is>
      </c>
      <c r="G6" s="12" t="inlineStr">
        <is>
          <t>Tous les testeurs peuvent travailler</t>
        </is>
      </c>
      <c r="H6" s="12" t="inlineStr">
        <is>
          <t>Go / No Go socle acces</t>
        </is>
      </c>
      <c r="I6" s="12" t="inlineStr">
        <is>
          <t>Non demarre</t>
        </is>
      </c>
      <c r="J6" s="12" t="str"/>
    </row>
    <row r="7">
      <c r="A7" s="12" t="inlineStr">
        <is>
          <t>S2</t>
        </is>
      </c>
      <c r="B7" s="12" t="inlineStr">
        <is>
          <t>T0 + 2 semaines</t>
        </is>
      </c>
      <c r="C7" s="12" t="inlineStr">
        <is>
          <t>Lots 1-2 - Profil, comptes, RBAC</t>
        </is>
      </c>
      <c r="D7" s="12" t="inlineStr">
        <is>
          <t>Qualifier le socle utilisateur</t>
        </is>
      </c>
      <c r="E7" s="12" t="inlineStr">
        <is>
          <t>Profil, preferences, roles, droits, multi-entite, utilisateurs externes</t>
        </is>
      </c>
      <c r="F7" s="12" t="inlineStr">
        <is>
          <t>Matrice droits completee</t>
        </is>
      </c>
      <c r="G7" s="12" t="inlineStr">
        <is>
          <t>Aucun ecart critique de permissions</t>
        </is>
      </c>
      <c r="H7" s="12" t="inlineStr">
        <is>
          <t>Go / Correctifs RBAC</t>
        </is>
      </c>
      <c r="I7" s="12" t="inlineStr">
        <is>
          <t>Non demarre</t>
        </is>
      </c>
      <c r="J7" s="12" t="str"/>
    </row>
    <row r="8">
      <c r="A8" s="12" t="inlineStr">
        <is>
          <t>S3</t>
        </is>
      </c>
      <c r="B8" s="12" t="inlineStr">
        <is>
          <t>T0 + 3 semaines</t>
        </is>
      </c>
      <c r="C8" s="12" t="inlineStr">
        <is>
          <t>Lots 3 et 5 - Assets, support</t>
        </is>
      </c>
      <c r="D8" s="12" t="inlineStr">
        <is>
          <t>Qualifier inventaire et support</t>
        </is>
      </c>
      <c r="E8" s="12" t="inlineStr">
        <is>
          <t>Assets, PJ, recherche, tickets, commentaires, notifications</t>
        </is>
      </c>
      <c r="F8" s="12" t="inlineStr">
        <is>
          <t>Assets et tickets pilotes</t>
        </is>
      </c>
      <c r="G8" s="12" t="inlineStr">
        <is>
          <t>Parcours assets/support utilisables</t>
        </is>
      </c>
      <c r="H8" s="12" t="inlineStr">
        <is>
          <t>Go / Correctifs UX</t>
        </is>
      </c>
      <c r="I8" s="12" t="inlineStr">
        <is>
          <t>Non demarre</t>
        </is>
      </c>
      <c r="J8" s="12" t="str"/>
    </row>
    <row r="9">
      <c r="A9" s="12" t="inlineStr">
        <is>
          <t>S4</t>
        </is>
      </c>
      <c r="B9" s="12" t="inlineStr">
        <is>
          <t>T0 + 4 semaines</t>
        </is>
      </c>
      <c r="C9" s="12" t="inlineStr">
        <is>
          <t>Lot 4 - Conformite referentiels</t>
        </is>
      </c>
      <c r="D9" s="12" t="inlineStr">
        <is>
          <t>Valider referentiels et regles</t>
        </is>
      </c>
      <c r="E9" s="12" t="inlineStr">
        <is>
          <t>Types, centres habilites, RiseUp, expirations, regles personne/entreprise</t>
        </is>
      </c>
      <c r="F9" s="12" t="inlineStr">
        <is>
          <t>Referentiels et regles pilotes</t>
        </is>
      </c>
      <c r="G9" s="12" t="inlineStr">
        <is>
          <t>Conformite contextuelle correcte</t>
        </is>
      </c>
      <c r="H9" s="12" t="inlineStr">
        <is>
          <t>Go / Correctifs conformite</t>
        </is>
      </c>
      <c r="I9" s="12" t="inlineStr">
        <is>
          <t>Non demarre</t>
        </is>
      </c>
      <c r="J9" s="12" t="str"/>
    </row>
    <row r="10">
      <c r="A10" s="12" t="inlineStr">
        <is>
          <t>S5</t>
        </is>
      </c>
      <c r="B10" s="12" t="inlineStr">
        <is>
          <t>T0 + 5 semaines</t>
        </is>
      </c>
      <c r="C10" s="12" t="inlineStr">
        <is>
          <t>Lot 4 - Audits tiers</t>
        </is>
      </c>
      <c r="D10" s="12" t="inlineStr">
        <is>
          <t>Valider audit fournisseur bout en bout</t>
        </is>
      </c>
      <c r="E10" s="12" t="inlineStr">
        <is>
          <t>Templates, questions, preuves, score, PDF, soumission, validation</t>
        </is>
      </c>
      <c r="F10" s="12" t="inlineStr">
        <is>
          <t>Audit fournisseur complet</t>
        </is>
      </c>
      <c r="G10" s="12" t="inlineStr">
        <is>
          <t>Audit valide, historise, notifie</t>
        </is>
      </c>
      <c r="H10" s="12" t="inlineStr">
        <is>
          <t>Go / Correctifs audits</t>
        </is>
      </c>
      <c r="I10" s="12" t="inlineStr">
        <is>
          <t>Non demarre</t>
        </is>
      </c>
      <c r="J10" s="12" t="str"/>
    </row>
    <row r="11">
      <c r="A11" s="12" t="inlineStr">
        <is>
          <t>S6</t>
        </is>
      </c>
      <c r="B11" s="12" t="inlineStr">
        <is>
          <t>T0 + 6 semaines</t>
        </is>
      </c>
      <c r="C11" s="12" t="inlineStr">
        <is>
          <t>Lot 6 - Tiers</t>
        </is>
      </c>
      <c r="D11" s="12" t="inlineStr">
        <is>
          <t>Qualifier entreprises et contacts</t>
        </is>
      </c>
      <c r="E11" s="12" t="inlineStr">
        <is>
          <t>Import, recherche, fiches, documents, conformite, responsive</t>
        </is>
      </c>
      <c r="F11" s="12" t="inlineStr">
        <is>
          <t>Referentiel tiers pilote</t>
        </is>
      </c>
      <c r="G11" s="12" t="inlineStr">
        <is>
          <t>Tiers exploitables sans blocage</t>
        </is>
      </c>
      <c r="H11" s="12" t="inlineStr">
        <is>
          <t>Go / Correctifs tiers</t>
        </is>
      </c>
      <c r="I11" s="12" t="inlineStr">
        <is>
          <t>Non demarre</t>
        </is>
      </c>
      <c r="J11" s="12" t="str"/>
    </row>
    <row r="12">
      <c r="A12" s="12" t="inlineStr">
        <is>
          <t>S7</t>
        </is>
      </c>
      <c r="B12" s="12" t="inlineStr">
        <is>
          <t>T0 + 7 semaines</t>
        </is>
      </c>
      <c r="C12" s="12" t="inlineStr">
        <is>
          <t>Lot 7 - Projets</t>
        </is>
      </c>
      <c r="D12" s="12" t="inlineStr">
        <is>
          <t>Qualifier pilotage projet</t>
        </is>
      </c>
      <c r="E12" s="12" t="inlineStr">
        <is>
          <t>Projets, taches, planning, budget, changements, planner, documents</t>
        </is>
      </c>
      <c r="F12" s="12" t="inlineStr">
        <is>
          <t>Projet pilote complet</t>
        </is>
      </c>
      <c r="G12" s="12" t="inlineStr">
        <is>
          <t>Parcours projet utilisable</t>
        </is>
      </c>
      <c r="H12" s="12" t="inlineStr">
        <is>
          <t>Go / Correctifs projets</t>
        </is>
      </c>
      <c r="I12" s="12" t="inlineStr">
        <is>
          <t>Non demarre</t>
        </is>
      </c>
      <c r="J12" s="12" t="str"/>
    </row>
    <row r="13">
      <c r="A13" s="12" t="inlineStr">
        <is>
          <t>S8</t>
        </is>
      </c>
      <c r="B13" s="12" t="inlineStr">
        <is>
          <t>T0 + 8 semaines</t>
        </is>
      </c>
      <c r="C13" s="12" t="inlineStr">
        <is>
          <t>Tous lots</t>
        </is>
      </c>
      <c r="D13" s="12" t="inlineStr">
        <is>
          <t>Consolider et re-tester</t>
        </is>
      </c>
      <c r="E13" s="12" t="inlineStr">
        <is>
          <t>Re-test correctifs, arbitrage, documentation, dette restante, go/no-go</t>
        </is>
      </c>
      <c r="F13" s="12" t="inlineStr">
        <is>
          <t>Rapport de recette et backlog priorise</t>
        </is>
      </c>
      <c r="G13" s="12" t="inlineStr">
        <is>
          <t>Aucun bloquant non arbitre</t>
        </is>
      </c>
      <c r="H13" s="12" t="inlineStr">
        <is>
          <t>Decision livraison / suite</t>
        </is>
      </c>
      <c r="I13" s="12" t="inlineStr">
        <is>
          <t>Non demarre</t>
        </is>
      </c>
      <c r="J13" s="12" t="str"/>
    </row>
  </sheetData>
  <mergeCells count="2">
    <mergeCell ref="A1:J1"/>
    <mergeCell ref="A2:J2"/>
  </mergeCells>
  <dataValidations count="1">
    <dataValidation sqref="I6:I13" showDropDown="0" showInputMessage="0" showErrorMessage="0" allowBlank="0" type="list">
      <formula1>"Non demarre,En cours,OK,KO,Bloque,A re-tester"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8.75" customWidth="1" min="1" max="1"/>
    <col width="16.25" customWidth="1" min="2" max="2"/>
    <col width="32.5" customWidth="1" min="3" max="3"/>
    <col width="41.25" customWidth="1" min="4" max="4"/>
    <col width="37.5" customWidth="1" min="5" max="5"/>
    <col width="35" customWidth="1" min="6" max="6"/>
    <col width="31.25" customWidth="1" min="7" max="7"/>
    <col width="26.25" customWidth="1" min="8" max="8"/>
  </cols>
  <sheetData>
    <row r="1" ht="21" customHeight="1">
      <c r="A1" s="50" t="inlineStr">
        <is>
          <t>Scope de collaboration OVA</t>
        </is>
      </c>
    </row>
    <row r="2" ht="21" customHeight="1">
      <c r="A2" s="53" t="inlineStr">
        <is>
          <t>Trois niveaux progressifs: test initial, maintenance applicative, puis evolution de la plateforme.</t>
        </is>
      </c>
    </row>
    <row r="5">
      <c r="A5" s="58" t="inlineStr">
        <is>
          <t>Niveau</t>
        </is>
      </c>
      <c r="B5" s="58" t="inlineStr">
        <is>
          <t>Horizon</t>
        </is>
      </c>
      <c r="C5" s="58" t="inlineStr">
        <is>
          <t>Objectif</t>
        </is>
      </c>
      <c r="D5" s="58" t="inlineStr">
        <is>
          <t>Responsabilites OVA</t>
        </is>
      </c>
      <c r="E5" s="58" t="inlineStr">
        <is>
          <t>Responsabilites OpsFlux</t>
        </is>
      </c>
      <c r="F5" s="58" t="inlineStr">
        <is>
          <t>Livrables</t>
        </is>
      </c>
      <c r="G5" s="58" t="inlineStr">
        <is>
          <t>Indicateurs</t>
        </is>
      </c>
      <c r="H5" s="58" t="inlineStr">
        <is>
          <t>Decision</t>
        </is>
      </c>
    </row>
    <row r="6">
      <c r="A6" s="12" t="inlineStr">
        <is>
          <t>1. Test et recette</t>
        </is>
      </c>
      <c r="B6" s="12" t="inlineStr">
        <is>
          <t>2 mois</t>
        </is>
      </c>
      <c r="C6" s="12" t="inlineStr">
        <is>
          <t>Valider les parcours prioritaires et mesurer la charge de travail.</t>
        </is>
      </c>
      <c r="D6" s="12" t="inlineStr">
        <is>
          <t>Executer les tests, documenter anomalies, verifier documentation, valider donnees pilotes.</t>
        </is>
      </c>
      <c r="E6" s="12" t="inlineStr">
        <is>
          <t>Fournir environnement, corriger anomalies, accompagner testeurs, arbitrer priorites.</t>
        </is>
      </c>
      <c r="F6" s="12" t="inlineStr">
        <is>
          <t>Tableau de suivi, registre anomalies, retours documentation, donnees validees.</t>
        </is>
      </c>
      <c r="G6" s="12" t="inlineStr">
        <is>
          <t>Taux OK, bloquants, anomalies majeures, couverture tests, qualite donnees.</t>
        </is>
      </c>
      <c r="H6" s="12" t="inlineStr">
        <is>
          <t>Go/no-go pour phase suivante.</t>
        </is>
      </c>
    </row>
    <row r="7">
      <c r="A7" s="12" t="inlineStr">
        <is>
          <t>2. Maintenance et exploitation</t>
        </is>
      </c>
      <c r="B7" s="12" t="inlineStr">
        <is>
          <t>Apres recette</t>
        </is>
      </c>
      <c r="C7" s="12" t="inlineStr">
        <is>
          <t>Stabiliser le run applicatif et l accompagnement utilisateurs.</t>
        </is>
      </c>
      <c r="D7" s="12" t="inlineStr">
        <is>
          <t>Qualifier incidents, verifier correctifs, faire non-regression, enrichir base de connaissance.</t>
        </is>
      </c>
      <c r="E7" s="12" t="inlineStr">
        <is>
          <t>Maintenir infrastructure, corriger, superviser, publier releases.</t>
        </is>
      </c>
      <c r="F7" s="12" t="inlineStr">
        <is>
          <t>Registre incidents, plan de correction, base de connaissance, rapports support.</t>
        </is>
      </c>
      <c r="G7" s="12" t="inlineStr">
        <is>
          <t>Temps de resolution, incidents recurrents, taux non-regression, satisfaction utilisateurs.</t>
        </is>
      </c>
      <c r="H7" s="12" t="inlineStr">
        <is>
          <t>Organisation run et SLA.</t>
        </is>
      </c>
    </row>
    <row r="8">
      <c r="A8" s="12" t="inlineStr">
        <is>
          <t>3. Evolution applicative</t>
        </is>
      </c>
      <c r="B8" s="12" t="inlineStr">
        <is>
          <t>Moyen / long terme</t>
        </is>
      </c>
      <c r="C8" s="12" t="inlineStr">
        <is>
          <t>Faire evoluer OpsFlux selon les usages et besoins metiers.</t>
        </is>
      </c>
      <c r="D8" s="12" t="inlineStr">
        <is>
          <t>Collecter besoins, formaliser fiches, prioriser, tester evolutions, accompagner changement.</t>
        </is>
      </c>
      <c r="E8" s="12" t="inlineStr">
        <is>
          <t>Concevoir, developper, securiser et deployer les evolutions.</t>
        </is>
      </c>
      <c r="F8" s="12" t="inlineStr">
        <is>
          <t>Backlog priorise, fiches besoin, criteres acceptation, releases validees.</t>
        </is>
      </c>
      <c r="G8" s="12" t="inlineStr">
        <is>
          <t>Valeur metier, adoption, reduction irritants, delai de livraison.</t>
        </is>
      </c>
      <c r="H8" s="12" t="inlineStr">
        <is>
          <t>Roadmap et gouvernance produit.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2026-05-29T22:13:53Z</dcterms:created>
  <dcterms:modified xmlns:dcterms="http://purl.org/dc/terms/" xmlns:xsi="http://www.w3.org/2001/XMLSchema-instance" xsi:type="dcterms:W3CDTF">2026-05-31T20:11:56Z</dcterms:modified>
</cp:coreProperties>
</file>